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codeName="ThisWorkbook"/>
  <bookViews>
    <workbookView xWindow="-120" yWindow="-120" windowWidth="23256" windowHeight="13176" activeTab="2"/>
  </bookViews>
  <sheets>
    <sheet name="Master data" sheetId="32" r:id="rId1"/>
    <sheet name="SampleBOM" sheetId="42" r:id="rId2"/>
    <sheet name="BOM1" sheetId="41" r:id="rId3"/>
  </sheets>
  <externalReferences>
    <externalReference r:id="rId4"/>
  </externalReferences>
  <definedNames>
    <definedName name="_xlnm._FilterDatabase" localSheetId="2" hidden="1">'BOM1'!$A$2:$AF$2</definedName>
    <definedName name="_xlnm._FilterDatabase" localSheetId="0" hidden="1">'Master data'!$A$1:$D$48</definedName>
    <definedName name="_xlnm._FilterDatabase" localSheetId="1" hidden="1">SampleBOM!$A$2:$AF$2</definedName>
    <definedName name="AT" localSheetId="1">#REF!</definedName>
    <definedName name="AT">#REF!</definedName>
    <definedName name="ATADJ" localSheetId="1">#REF!</definedName>
    <definedName name="ATADJ">#REF!</definedName>
    <definedName name="B2B" localSheetId="1">#REF!</definedName>
    <definedName name="B2B">#REF!</definedName>
    <definedName name="b2cl" localSheetId="1">#REF!</definedName>
    <definedName name="b2cl">#REF!</definedName>
    <definedName name="B2CS" localSheetId="1">#REF!</definedName>
    <definedName name="B2CS">#REF!</definedName>
    <definedName name="CATEGORY">'Master data'!$B$2:$B$20</definedName>
    <definedName name="CDNR" localSheetId="1">#REF!</definedName>
    <definedName name="CDNR">#REF!</definedName>
    <definedName name="CDNUR" localSheetId="1">#REF!</definedName>
    <definedName name="CDNUR">#REF!</definedName>
    <definedName name="CDRNOTE" localSheetId="1">#REF!</definedName>
    <definedName name="CDRNOTE">#REF!</definedName>
    <definedName name="Density">'Master data'!$I$2:$I$19</definedName>
    <definedName name="DIFF" localSheetId="1">#REF!</definedName>
    <definedName name="DIFF">#REF!</definedName>
    <definedName name="DOCS" localSheetId="1">#REF!</definedName>
    <definedName name="DOCS">#REF!</definedName>
    <definedName name="DOCUMENT" localSheetId="1">#REF!</definedName>
    <definedName name="DOCUMENT">#REF!</definedName>
    <definedName name="EXEMP" localSheetId="1">#REF!</definedName>
    <definedName name="EXEMP">#REF!</definedName>
    <definedName name="EXP" localSheetId="1">#REF!</definedName>
    <definedName name="EXP">#REF!</definedName>
    <definedName name="EXPORT" localSheetId="1">#REF!</definedName>
    <definedName name="EXPORT">#REF!</definedName>
    <definedName name="FYEAR" localSheetId="1">#REF!</definedName>
    <definedName name="FYEAR">#REF!</definedName>
    <definedName name="HSN" localSheetId="1">#REF!</definedName>
    <definedName name="HSN">#REF!</definedName>
    <definedName name="HSNCode">'Master data'!$C$2:$C$25</definedName>
    <definedName name="INVTYPE" localSheetId="1">#REF!</definedName>
    <definedName name="INVTYPE">#REF!</definedName>
    <definedName name="ItemType">'Master data'!$E$2:$E$3</definedName>
    <definedName name="MaterialGrade">'Master data'!$H$2:$H$18</definedName>
    <definedName name="MaterialType">'Master data'!$G$2:$G$20</definedName>
    <definedName name="MONTH" localSheetId="1">#REF!</definedName>
    <definedName name="MONTH">#REF!</definedName>
    <definedName name="NOTE" localSheetId="1">#REF!</definedName>
    <definedName name="NOTE">#REF!</definedName>
    <definedName name="NOTERSN" localSheetId="1">#REF!</definedName>
    <definedName name="NOTERSN">#REF!</definedName>
    <definedName name="NUQC" localSheetId="1">#REF!</definedName>
    <definedName name="NUQC">#REF!</definedName>
    <definedName name="POS" localSheetId="1">#REF!</definedName>
    <definedName name="POS">#REF!</definedName>
    <definedName name="RATE" localSheetId="1">#REF!</definedName>
    <definedName name="RATE">#REF!</definedName>
    <definedName name="RCHARGE" localSheetId="1">#REF!</definedName>
    <definedName name="RCHARGE">#REF!</definedName>
    <definedName name="SACCode">'Master data'!$D$2:$D$25</definedName>
    <definedName name="Shapes">'Master data'!$F$2:$F$12</definedName>
    <definedName name="STYPE" localSheetId="1">#REF!</definedName>
    <definedName name="STYPE">#REF!</definedName>
    <definedName name="SupplyType">[1]master!$J$2:$J$3</definedName>
    <definedName name="TYPE" localSheetId="1">#REF!</definedName>
    <definedName name="TYPE">#REF!</definedName>
    <definedName name="UOM">'Master data'!$A$2:$A$48</definedName>
    <definedName name="UQC" localSheetId="1">#REF!</definedName>
    <definedName name="UQC">#REF!</definedName>
    <definedName name="URTYPE" localSheetId="1">#REF!</definedName>
    <definedName name="URTYPE">#REF!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3" i="42" l="1"/>
  <c r="AA5" i="42"/>
  <c r="Z5" i="42"/>
  <c r="AE5" i="42" s="1"/>
  <c r="Y5" i="42"/>
</calcChain>
</file>

<file path=xl/comments1.xml><?xml version="1.0" encoding="utf-8"?>
<comments xmlns="http://schemas.openxmlformats.org/spreadsheetml/2006/main">
  <authors>
    <author>Admin</author>
  </authors>
  <commentList>
    <comment ref="K2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Nos
Kgs
Set
MM</t>
        </r>
      </text>
    </comment>
    <comment ref="L2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Part List Revision</t>
        </r>
      </text>
    </comment>
    <comment ref="M2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Part Revision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K2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Nos
Kgs
Set
MM</t>
        </r>
      </text>
    </comment>
    <comment ref="L2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Part List Revision</t>
        </r>
      </text>
    </comment>
    <comment ref="M2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Part Revision</t>
        </r>
      </text>
    </comment>
  </commentList>
</comments>
</file>

<file path=xl/sharedStrings.xml><?xml version="1.0" encoding="utf-8"?>
<sst xmlns="http://schemas.openxmlformats.org/spreadsheetml/2006/main" count="301" uniqueCount="188">
  <si>
    <t>37-Andhra Pradesh</t>
  </si>
  <si>
    <t>36-Telangana</t>
  </si>
  <si>
    <t>05-Uttarakhand</t>
  </si>
  <si>
    <t>32-Kerala</t>
  </si>
  <si>
    <t>04-Chandigarh</t>
  </si>
  <si>
    <t>12-Arunachal Pradesh</t>
  </si>
  <si>
    <t>33-Tamil Nadu</t>
  </si>
  <si>
    <t>10-Bihar</t>
  </si>
  <si>
    <t>07-Delhi</t>
  </si>
  <si>
    <t>27-Maharashtra</t>
  </si>
  <si>
    <t>01-Jammu &amp; Kashmir</t>
  </si>
  <si>
    <t>02-Himachal Pradesh</t>
  </si>
  <si>
    <t>03-Punjab</t>
  </si>
  <si>
    <t>BAG-BAGS</t>
  </si>
  <si>
    <t>DRM-DRUMS</t>
  </si>
  <si>
    <t>LTR-LITRES</t>
  </si>
  <si>
    <t>BOU-BILLION OF UNITS</t>
  </si>
  <si>
    <t>BAL-BALE</t>
  </si>
  <si>
    <t>BDL-BUNDLES</t>
  </si>
  <si>
    <t>BKL-BUCKLES</t>
  </si>
  <si>
    <t>BOX-BOX</t>
  </si>
  <si>
    <t>06-Haryana</t>
  </si>
  <si>
    <t>BTL-BOTTLES</t>
  </si>
  <si>
    <t>BUN-BUNCHES</t>
  </si>
  <si>
    <t>08-Rajasthan</t>
  </si>
  <si>
    <t>CAN-CANS</t>
  </si>
  <si>
    <t>09-Uttar Pradesh</t>
  </si>
  <si>
    <t>CBM-CUBIC METERS</t>
  </si>
  <si>
    <t>CCM-CUBIC CENTIMETERS</t>
  </si>
  <si>
    <t>11-Sikkim</t>
  </si>
  <si>
    <t>CMS-CENTIMETERS</t>
  </si>
  <si>
    <t>CTN-CARTONS</t>
  </si>
  <si>
    <t>13-Nagaland</t>
  </si>
  <si>
    <t>DOZ-DOZENS</t>
  </si>
  <si>
    <t>14-Manipur</t>
  </si>
  <si>
    <t>15-Mizoram</t>
  </si>
  <si>
    <t>GGK-GREAT GROSS</t>
  </si>
  <si>
    <t>16-Tripura</t>
  </si>
  <si>
    <t>GMS-GRAMMES</t>
  </si>
  <si>
    <t>17-Meghalaya</t>
  </si>
  <si>
    <t>GRS-GROSS</t>
  </si>
  <si>
    <t>18-Assam</t>
  </si>
  <si>
    <t>GYD-GROSS YARDS</t>
  </si>
  <si>
    <t>19-West Bengal</t>
  </si>
  <si>
    <t>KGS-KILOGRAMS</t>
  </si>
  <si>
    <t>20-Jharkhand</t>
  </si>
  <si>
    <t>KLR-KILOLITRE</t>
  </si>
  <si>
    <t>21-Odisha</t>
  </si>
  <si>
    <t>KME-KILOMETRE</t>
  </si>
  <si>
    <t>22-Chhattisgarh</t>
  </si>
  <si>
    <t>23-Madhya Pradesh</t>
  </si>
  <si>
    <t>MLT-MILILITRE</t>
  </si>
  <si>
    <t>24-Gujarat</t>
  </si>
  <si>
    <t>MTR-METERS</t>
  </si>
  <si>
    <t>25-Daman &amp; Diu</t>
  </si>
  <si>
    <t>MTS-METRIC TON</t>
  </si>
  <si>
    <t>26-Dadra &amp; Nagar Haveli &amp; Daman &amp; Diu</t>
  </si>
  <si>
    <t>NOS-NUMBERS</t>
  </si>
  <si>
    <t>PAC-PACKS</t>
  </si>
  <si>
    <t>29-Karnataka</t>
  </si>
  <si>
    <t>PCS-PIECES</t>
  </si>
  <si>
    <t>30-Goa</t>
  </si>
  <si>
    <t>PRS-PAIRS</t>
  </si>
  <si>
    <t>31-Lakshdweep</t>
  </si>
  <si>
    <t>QTL-QUINTAL</t>
  </si>
  <si>
    <t>ROL-ROLLS</t>
  </si>
  <si>
    <t>SET-SETS</t>
  </si>
  <si>
    <t>34-Puducherry</t>
  </si>
  <si>
    <t>SQF-SQUARE FEET</t>
  </si>
  <si>
    <t>35-Andaman &amp; Nicobar Islands</t>
  </si>
  <si>
    <t>SQM-SQUARE METERS</t>
  </si>
  <si>
    <t>SQY-SQUARE YARDS</t>
  </si>
  <si>
    <t>TBS-TABLETS</t>
  </si>
  <si>
    <t>38-Ladakh</t>
  </si>
  <si>
    <t>TGM-TEN GROSS</t>
  </si>
  <si>
    <t>97-Other Territory</t>
  </si>
  <si>
    <t>THD-THOUSANDS</t>
  </si>
  <si>
    <t>TON-TONNES</t>
  </si>
  <si>
    <t>TUB-TUBES</t>
  </si>
  <si>
    <t>UGS-US GALLONS</t>
  </si>
  <si>
    <t>UNT-UNITS</t>
  </si>
  <si>
    <t>YDS-YARDS</t>
  </si>
  <si>
    <t>OTH-OTHERS</t>
  </si>
  <si>
    <t>UOM</t>
  </si>
  <si>
    <t>CATEGORY</t>
  </si>
  <si>
    <t>STATES</t>
  </si>
  <si>
    <t>1-RAW MATERIAL</t>
  </si>
  <si>
    <t>2-COMPONENT</t>
  </si>
  <si>
    <t>3-ASSEMBLY</t>
  </si>
  <si>
    <t>5-GAUGES &amp; INSTRUMENTS</t>
  </si>
  <si>
    <t>6-FIXTURES</t>
  </si>
  <si>
    <t>7-SUB-ASSEMBLY</t>
  </si>
  <si>
    <t>8-SEMI-FINISHED GOODS</t>
  </si>
  <si>
    <t>4-CUTTING TOOLS</t>
  </si>
  <si>
    <t>11-FINISHED GOODS</t>
  </si>
  <si>
    <t>9-BOUGHTOUT ITEMS</t>
  </si>
  <si>
    <t>10-OIL AND LUBRICANTS</t>
  </si>
  <si>
    <t>12-INSERTS</t>
  </si>
  <si>
    <t>13-CAPITAL GOODS</t>
  </si>
  <si>
    <t>HSN Code</t>
  </si>
  <si>
    <t>SAC Code</t>
  </si>
  <si>
    <t>MLS-MILLI LITRES</t>
  </si>
  <si>
    <t>MM-Mili Meter</t>
  </si>
  <si>
    <t>14-FASTENERS</t>
  </si>
  <si>
    <t>Sl. No.</t>
  </si>
  <si>
    <t>Main Assy</t>
  </si>
  <si>
    <t>Sub Assy1</t>
  </si>
  <si>
    <t>Sub Assy2</t>
  </si>
  <si>
    <t>Sub Assy3</t>
  </si>
  <si>
    <t>PART NUMBER</t>
  </si>
  <si>
    <t>PART NAME</t>
  </si>
  <si>
    <t>Rate</t>
  </si>
  <si>
    <t>ROL</t>
  </si>
  <si>
    <t>TYPE</t>
  </si>
  <si>
    <t>Mfg-Manufacturing</t>
  </si>
  <si>
    <t>QTY</t>
  </si>
  <si>
    <t>Specification</t>
  </si>
  <si>
    <t>Finished Size</t>
  </si>
  <si>
    <t>Raw Material Size</t>
  </si>
  <si>
    <t>Shape</t>
  </si>
  <si>
    <t>Material</t>
  </si>
  <si>
    <t>Density</t>
  </si>
  <si>
    <t>Mtl.Grade</t>
  </si>
  <si>
    <t>Round</t>
  </si>
  <si>
    <t>Rectangle Plate</t>
  </si>
  <si>
    <t>Rectangle Tube</t>
  </si>
  <si>
    <t>Square Plate</t>
  </si>
  <si>
    <t>Square Tube</t>
  </si>
  <si>
    <t>Round Tube</t>
  </si>
  <si>
    <t>Material Type</t>
  </si>
  <si>
    <t>BOM Main Assembly &amp; Sub Assembly &amp; Child Parts Details</t>
  </si>
  <si>
    <t>Item Type</t>
  </si>
  <si>
    <t>Raw Material details---&gt;</t>
  </si>
  <si>
    <t>Density 
(Grm/Cm³)</t>
  </si>
  <si>
    <t>C-45</t>
  </si>
  <si>
    <t>Alloy Steel</t>
  </si>
  <si>
    <t>RM Qty</t>
  </si>
  <si>
    <t>RM UOM</t>
  </si>
  <si>
    <t>BOP-Broughtout/Purchase</t>
  </si>
  <si>
    <t>RM Wt.</t>
  </si>
  <si>
    <t>.</t>
  </si>
  <si>
    <t>Aluminium</t>
  </si>
  <si>
    <t>AL-6061-T6</t>
  </si>
  <si>
    <t>HYLAM</t>
  </si>
  <si>
    <t>F2</t>
  </si>
  <si>
    <t>P-20</t>
  </si>
  <si>
    <t>15-STD ITEM</t>
  </si>
  <si>
    <t>16-HARDWARE</t>
  </si>
  <si>
    <t>EN-8</t>
  </si>
  <si>
    <t>OHNS</t>
  </si>
  <si>
    <t>MS</t>
  </si>
  <si>
    <t>EN-19</t>
  </si>
  <si>
    <t>EN-24</t>
  </si>
  <si>
    <t>EN-31</t>
  </si>
  <si>
    <t>COPPER</t>
  </si>
  <si>
    <t>Copper</t>
  </si>
  <si>
    <t>Remarks</t>
  </si>
  <si>
    <t>POLYMER</t>
  </si>
  <si>
    <t>NYLON</t>
  </si>
  <si>
    <t>WOOD</t>
  </si>
  <si>
    <t>ENS SOUDE AL 5083</t>
  </si>
  <si>
    <t>ENS SOUDE 2017 A</t>
  </si>
  <si>
    <t>BRONZE</t>
  </si>
  <si>
    <t>U-E9P</t>
  </si>
  <si>
    <t>SS 304L</t>
  </si>
  <si>
    <t>EN-36</t>
  </si>
  <si>
    <t>OD/Length</t>
  </si>
  <si>
    <t>ID/Width</t>
  </si>
  <si>
    <t>Thickness/Length/Height</t>
  </si>
  <si>
    <t>Wall Thickness</t>
  </si>
  <si>
    <t>OD/Length RM</t>
  </si>
  <si>
    <t>ID/Width RM</t>
  </si>
  <si>
    <t>Thickness/Length/Height RM</t>
  </si>
  <si>
    <t>Wall Thickness RM</t>
  </si>
  <si>
    <t>7777-Assy</t>
  </si>
  <si>
    <t>7777-SubAssy</t>
  </si>
  <si>
    <t>7777-Comp1</t>
  </si>
  <si>
    <t>7778-SubAssy</t>
  </si>
  <si>
    <t>7777-Comp</t>
  </si>
  <si>
    <t>7777-Bought1</t>
  </si>
  <si>
    <t>7777-Bought2</t>
  </si>
  <si>
    <t>7777-Bought3</t>
  </si>
  <si>
    <t>7778-Bought1</t>
  </si>
  <si>
    <t>7778-Bought2</t>
  </si>
  <si>
    <t>7778-Bought3</t>
  </si>
  <si>
    <t>MILLING FIXTURE</t>
  </si>
  <si>
    <t>MILLING FIXTURE SubAssy</t>
  </si>
  <si>
    <t xml:space="preserve">(Grm/Cm³)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</si>
</sst>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ourier New"/>
      <family val="3"/>
    </font>
    <font>
      <sz val="10"/>
      <color rgb="FF000000"/>
      <name val="Courier New"/>
      <family val="3"/>
    </font>
    <font>
      <b/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ourier New"/>
      <family val="3"/>
    </font>
    <font>
      <b/>
      <sz val="14"/>
      <color theme="1"/>
      <name val="Calibri"/>
      <family val="2"/>
      <scheme val="minor"/>
    </font>
    <font>
      <sz val="12"/>
      <color rgb="FFC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7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7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vertical="center"/>
      <protection locked="0"/>
    </xf>
    <xf numFmtId="0" fontId="1" fillId="0" borderId="1" xfId="0" applyFont="1" applyBorder="1"/>
    <xf numFmtId="0" fontId="1" fillId="3" borderId="1" xfId="0" applyFont="1" applyFill="1" applyBorder="1" applyAlignment="1" applyProtection="1">
      <alignment vertical="center"/>
      <protection locked="0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9" fillId="0" borderId="1" xfId="1" applyBorder="1"/>
    <xf numFmtId="0" fontId="8" fillId="0" borderId="1" xfId="0" applyFont="1" applyBorder="1"/>
    <xf numFmtId="0" fontId="1" fillId="0" borderId="1" xfId="0" quotePrefix="1" applyFont="1" applyBorder="1" applyAlignment="1">
      <alignment horizontal="center" vertical="center"/>
    </xf>
    <xf numFmtId="0" fontId="2" fillId="3" borderId="1" xfId="0" applyFont="1" applyFill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2" borderId="1" xfId="0" applyFont="1" applyFill="1" applyBorder="1" applyAlignment="1" applyProtection="1">
      <alignment vertical="center"/>
      <protection locked="0"/>
    </xf>
    <xf numFmtId="0" fontId="1" fillId="5" borderId="1" xfId="0" applyFont="1" applyFill="1" applyBorder="1" applyProtection="1">
      <protection locked="0"/>
    </xf>
    <xf numFmtId="0" fontId="1" fillId="4" borderId="1" xfId="0" applyFont="1" applyFill="1" applyBorder="1" applyAlignment="1" applyProtection="1">
      <alignment vertical="center"/>
      <protection locked="0"/>
    </xf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4" fillId="5" borderId="1" xfId="0" applyFont="1" applyFill="1" applyBorder="1" applyAlignment="1" applyProtection="1">
      <alignment horizontal="center" vertical="center"/>
      <protection locked="0"/>
    </xf>
    <xf numFmtId="0" fontId="4" fillId="5" borderId="1" xfId="0" applyFont="1" applyFill="1" applyBorder="1" applyProtection="1">
      <protection locked="0"/>
    </xf>
    <xf numFmtId="0" fontId="11" fillId="5" borderId="1" xfId="0" applyFont="1" applyFill="1" applyBorder="1" applyAlignment="1" applyProtection="1">
      <alignment vertical="center"/>
      <protection locked="0"/>
    </xf>
    <xf numFmtId="0" fontId="11" fillId="5" borderId="1" xfId="0" applyFont="1" applyFill="1" applyBorder="1" applyAlignment="1">
      <alignment vertical="center"/>
    </xf>
    <xf numFmtId="0" fontId="11" fillId="5" borderId="1" xfId="0" applyFont="1" applyFill="1" applyBorder="1" applyAlignment="1" applyProtection="1">
      <alignment horizontal="left" vertical="center"/>
      <protection locked="0"/>
    </xf>
    <xf numFmtId="0" fontId="11" fillId="5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Protection="1">
      <protection locked="0"/>
    </xf>
    <xf numFmtId="0" fontId="11" fillId="0" borderId="1" xfId="0" applyFont="1" applyFill="1" applyBorder="1" applyAlignment="1" applyProtection="1">
      <alignment horizontal="left" vertical="center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Fill="1" applyBorder="1" applyAlignment="1" applyProtection="1">
      <alignment horizontal="center" vertical="center"/>
      <protection locked="0"/>
    </xf>
    <xf numFmtId="2" fontId="1" fillId="0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/>
    <xf numFmtId="0" fontId="2" fillId="0" borderId="1" xfId="0" applyFont="1" applyFill="1" applyBorder="1" applyAlignment="1" applyProtection="1">
      <alignment vertical="center"/>
      <protection locked="0"/>
    </xf>
    <xf numFmtId="0" fontId="2" fillId="0" borderId="1" xfId="0" applyFont="1" applyFill="1" applyBorder="1" applyAlignment="1" applyProtection="1">
      <alignment horizontal="left" vertical="center"/>
      <protection locked="0"/>
    </xf>
    <xf numFmtId="0" fontId="11" fillId="0" borderId="1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left" vertical="center"/>
      <protection locked="0"/>
    </xf>
    <xf numFmtId="0" fontId="1" fillId="0" borderId="1" xfId="0" applyFont="1" applyFill="1" applyBorder="1" applyAlignment="1" applyProtection="1">
      <alignment horizontal="center"/>
      <protection locked="0"/>
    </xf>
    <xf numFmtId="0" fontId="4" fillId="8" borderId="1" xfId="0" applyFont="1" applyFill="1" applyBorder="1" applyAlignment="1" applyProtection="1">
      <alignment horizontal="center" vertical="center"/>
      <protection locked="0"/>
    </xf>
    <xf numFmtId="0" fontId="11" fillId="8" borderId="1" xfId="0" applyFont="1" applyFill="1" applyBorder="1" applyAlignment="1" applyProtection="1">
      <alignment horizontal="left" vertical="center"/>
      <protection locked="0"/>
    </xf>
    <xf numFmtId="0" fontId="11" fillId="8" borderId="1" xfId="0" applyFont="1" applyFill="1" applyBorder="1" applyAlignment="1" applyProtection="1">
      <alignment horizontal="center" vertical="center"/>
      <protection locked="0"/>
    </xf>
    <xf numFmtId="2" fontId="4" fillId="8" borderId="1" xfId="0" applyNumberFormat="1" applyFont="1" applyFill="1" applyBorder="1" applyAlignment="1" applyProtection="1">
      <alignment horizontal="center" vertical="center"/>
      <protection locked="0"/>
    </xf>
    <xf numFmtId="0" fontId="11" fillId="8" borderId="1" xfId="0" applyFont="1" applyFill="1" applyBorder="1" applyAlignment="1" applyProtection="1">
      <alignment vertical="center"/>
      <protection locked="0"/>
    </xf>
    <xf numFmtId="0" fontId="3" fillId="9" borderId="1" xfId="0" applyFont="1" applyFill="1" applyBorder="1" applyAlignment="1">
      <alignment vertical="center"/>
    </xf>
    <xf numFmtId="0" fontId="2" fillId="10" borderId="1" xfId="0" applyFont="1" applyFill="1" applyBorder="1" applyAlignment="1" applyProtection="1">
      <alignment vertical="center"/>
      <protection locked="0"/>
    </xf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 applyProtection="1">
      <alignment horizontal="center" vertical="center"/>
      <protection locked="0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1" fillId="5" borderId="1" xfId="0" applyFont="1" applyFill="1" applyBorder="1" applyAlignment="1" applyProtection="1">
      <alignment horizont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5" borderId="1" xfId="0" applyFont="1" applyFill="1" applyBorder="1" applyAlignment="1" applyProtection="1">
      <alignment horizontal="center" vertical="center"/>
      <protection locked="0"/>
    </xf>
    <xf numFmtId="0" fontId="1" fillId="7" borderId="1" xfId="0" applyFont="1" applyFill="1" applyBorder="1" applyAlignment="1" applyProtection="1">
      <alignment horizontal="center" vertical="center"/>
      <protection locked="0"/>
    </xf>
    <xf numFmtId="0" fontId="4" fillId="5" borderId="1" xfId="0" applyFont="1" applyFill="1" applyBorder="1" applyAlignment="1" applyProtection="1">
      <alignment horizontal="center"/>
      <protection locked="0"/>
    </xf>
    <xf numFmtId="0" fontId="4" fillId="8" borderId="1" xfId="0" applyFont="1" applyFill="1" applyBorder="1" applyAlignment="1" applyProtection="1">
      <alignment vertical="center"/>
      <protection locked="0"/>
    </xf>
    <xf numFmtId="0" fontId="4" fillId="8" borderId="1" xfId="0" applyFont="1" applyFill="1" applyBorder="1" applyAlignment="1">
      <alignment vertical="center"/>
    </xf>
    <xf numFmtId="0" fontId="1" fillId="0" borderId="1" xfId="0" applyFont="1" applyFill="1" applyBorder="1" applyAlignment="1" applyProtection="1">
      <alignment vertical="center"/>
      <protection locked="0"/>
    </xf>
    <xf numFmtId="0" fontId="1" fillId="0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3" fillId="7" borderId="4" xfId="0" applyFont="1" applyFill="1" applyBorder="1" applyAlignment="1" applyProtection="1">
      <alignment horizontal="center" vertical="center"/>
      <protection locked="0"/>
    </xf>
    <xf numFmtId="0" fontId="12" fillId="7" borderId="1" xfId="0" applyFont="1" applyFill="1" applyBorder="1" applyAlignment="1" applyProtection="1">
      <alignment horizontal="center" vertical="center"/>
      <protection locked="0"/>
    </xf>
    <xf numFmtId="0" fontId="13" fillId="7" borderId="1" xfId="0" applyFont="1" applyFill="1" applyBorder="1" applyAlignment="1" applyProtection="1">
      <alignment horizontal="center" vertical="center"/>
      <protection locked="0"/>
    </xf>
    <xf numFmtId="0" fontId="13" fillId="7" borderId="2" xfId="0" applyFont="1" applyFill="1" applyBorder="1" applyAlignment="1" applyProtection="1">
      <alignment horizontal="center" vertical="center"/>
      <protection locked="0"/>
    </xf>
    <xf numFmtId="0" fontId="13" fillId="7" borderId="3" xfId="0" applyFont="1" applyFill="1" applyBorder="1" applyAlignment="1" applyProtection="1">
      <alignment horizontal="center" vertical="center"/>
      <protection locked="0"/>
    </xf>
    <xf numFmtId="0" fontId="4" fillId="0" borderId="1" xfId="0" applyFont="1" applyFill="1" applyBorder="1" applyAlignment="1" applyProtection="1">
      <alignment vertical="center"/>
      <protection locked="0"/>
    </xf>
    <xf numFmtId="2" fontId="4" fillId="0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Fill="1" applyBorder="1" applyAlignment="1">
      <alignment vertical="center"/>
    </xf>
    <xf numFmtId="0" fontId="11" fillId="0" borderId="1" xfId="0" applyFont="1" applyFill="1" applyBorder="1" applyAlignment="1" applyProtection="1">
      <alignment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0\Users\inumula.pavani\Downloads\gst_offline_tool\GSTR2_Excel_Workbook_TemplateNew_V1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 Instructions"/>
      <sheetName val="b2b"/>
      <sheetName val="b2bur"/>
      <sheetName val="imps"/>
      <sheetName val="impg"/>
      <sheetName val="cdnr"/>
      <sheetName val="cdnur"/>
      <sheetName val="at"/>
      <sheetName val="atadj"/>
      <sheetName val="exemp"/>
      <sheetName val="itcr"/>
      <sheetName val="hsnsum"/>
      <sheetName val="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J2" t="str">
            <v>Inter State</v>
          </cell>
        </row>
        <row r="3">
          <cell r="J3" t="str">
            <v>Intra State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48"/>
  <sheetViews>
    <sheetView workbookViewId="0">
      <selection activeCell="B30" sqref="B30"/>
    </sheetView>
  </sheetViews>
  <sheetFormatPr defaultColWidth="29.109375" defaultRowHeight="13.8" x14ac:dyDescent="0.3"/>
  <cols>
    <col min="1" max="1" width="21" style="2" bestFit="1" customWidth="1"/>
    <col min="2" max="2" width="22.109375" style="2" bestFit="1" customWidth="1"/>
    <col min="3" max="3" width="11" style="1" bestFit="1" customWidth="1"/>
    <col min="4" max="4" width="10.6640625" style="2" bestFit="1" customWidth="1"/>
    <col min="5" max="5" width="22.109375" style="2" bestFit="1" customWidth="1"/>
    <col min="6" max="6" width="13.109375" style="1" bestFit="1" customWidth="1"/>
    <col min="7" max="7" width="12.6640625" style="1" bestFit="1" customWidth="1"/>
    <col min="8" max="8" width="33.88671875" style="1" customWidth="1"/>
    <col min="9" max="9" width="8.44140625" style="1" bestFit="1" customWidth="1"/>
    <col min="10" max="10" width="18.109375" style="2" bestFit="1" customWidth="1"/>
    <col min="11" max="16384" width="29.109375" style="2"/>
  </cols>
  <sheetData>
    <row r="1" spans="1:10" ht="41.4" x14ac:dyDescent="0.3">
      <c r="A1" s="4" t="s">
        <v>83</v>
      </c>
      <c r="B1" s="4" t="s">
        <v>84</v>
      </c>
      <c r="C1" s="4" t="s">
        <v>99</v>
      </c>
      <c r="D1" s="4" t="s">
        <v>100</v>
      </c>
      <c r="E1" s="4" t="s">
        <v>113</v>
      </c>
      <c r="F1" s="5" t="s">
        <v>119</v>
      </c>
      <c r="G1" s="5" t="s">
        <v>129</v>
      </c>
      <c r="H1" s="5" t="s">
        <v>122</v>
      </c>
      <c r="I1" s="6" t="s">
        <v>133</v>
      </c>
      <c r="J1" s="4" t="s">
        <v>85</v>
      </c>
    </row>
    <row r="2" spans="1:10" x14ac:dyDescent="0.3">
      <c r="A2" s="13" t="s">
        <v>13</v>
      </c>
      <c r="B2" s="13" t="s">
        <v>86</v>
      </c>
      <c r="C2" s="15">
        <v>123456</v>
      </c>
      <c r="D2" s="15">
        <v>9900887</v>
      </c>
      <c r="E2" s="13" t="s">
        <v>114</v>
      </c>
      <c r="F2" s="16" t="s">
        <v>123</v>
      </c>
      <c r="G2" s="16" t="s">
        <v>135</v>
      </c>
      <c r="H2" s="16" t="s">
        <v>134</v>
      </c>
      <c r="I2" s="16">
        <v>7.85</v>
      </c>
      <c r="J2" s="3" t="s">
        <v>10</v>
      </c>
    </row>
    <row r="3" spans="1:10" x14ac:dyDescent="0.3">
      <c r="A3" s="13" t="s">
        <v>17</v>
      </c>
      <c r="B3" s="13" t="s">
        <v>87</v>
      </c>
      <c r="C3" s="15">
        <v>3920</v>
      </c>
      <c r="D3" s="19">
        <v>7225400</v>
      </c>
      <c r="E3" s="13" t="s">
        <v>138</v>
      </c>
      <c r="F3" s="16" t="s">
        <v>128</v>
      </c>
      <c r="G3" s="11" t="s">
        <v>141</v>
      </c>
      <c r="H3" s="16" t="s">
        <v>142</v>
      </c>
      <c r="I3" s="16">
        <v>2.8</v>
      </c>
      <c r="J3" s="3" t="s">
        <v>11</v>
      </c>
    </row>
    <row r="4" spans="1:10" x14ac:dyDescent="0.3">
      <c r="A4" s="13" t="s">
        <v>18</v>
      </c>
      <c r="B4" s="13" t="s">
        <v>88</v>
      </c>
      <c r="C4" s="15">
        <v>84663020</v>
      </c>
      <c r="D4" s="15"/>
      <c r="E4" s="13"/>
      <c r="F4" s="16" t="s">
        <v>124</v>
      </c>
      <c r="G4" s="16" t="s">
        <v>143</v>
      </c>
      <c r="H4" s="16" t="s">
        <v>144</v>
      </c>
      <c r="I4" s="16">
        <v>2.2000000000000002</v>
      </c>
      <c r="J4" s="3" t="s">
        <v>12</v>
      </c>
    </row>
    <row r="5" spans="1:10" x14ac:dyDescent="0.3">
      <c r="A5" s="13" t="s">
        <v>19</v>
      </c>
      <c r="B5" s="13" t="s">
        <v>93</v>
      </c>
      <c r="C5" s="15">
        <v>39201019</v>
      </c>
      <c r="D5" s="15"/>
      <c r="E5" s="13"/>
      <c r="F5" s="16" t="s">
        <v>125</v>
      </c>
      <c r="G5" s="16" t="s">
        <v>154</v>
      </c>
      <c r="H5" s="16" t="s">
        <v>145</v>
      </c>
      <c r="I5" s="16">
        <v>7.8</v>
      </c>
      <c r="J5" s="3" t="s">
        <v>4</v>
      </c>
    </row>
    <row r="6" spans="1:10" x14ac:dyDescent="0.3">
      <c r="A6" s="13" t="s">
        <v>16</v>
      </c>
      <c r="B6" s="13" t="s">
        <v>89</v>
      </c>
      <c r="C6" s="15">
        <v>654321</v>
      </c>
      <c r="D6" s="15"/>
      <c r="E6" s="13"/>
      <c r="F6" s="16" t="s">
        <v>126</v>
      </c>
      <c r="G6" s="16" t="s">
        <v>157</v>
      </c>
      <c r="H6" s="16" t="s">
        <v>148</v>
      </c>
      <c r="I6" s="25">
        <v>8.9600000000000009</v>
      </c>
      <c r="J6" s="3" t="s">
        <v>2</v>
      </c>
    </row>
    <row r="7" spans="1:10" x14ac:dyDescent="0.3">
      <c r="A7" s="13" t="s">
        <v>20</v>
      </c>
      <c r="B7" s="13" t="s">
        <v>90</v>
      </c>
      <c r="C7" s="15">
        <v>6804</v>
      </c>
      <c r="D7" s="15"/>
      <c r="E7" s="13"/>
      <c r="F7" s="16" t="s">
        <v>127</v>
      </c>
      <c r="G7" s="16" t="s">
        <v>159</v>
      </c>
      <c r="H7" s="16" t="s">
        <v>149</v>
      </c>
      <c r="I7" s="16">
        <v>1.5</v>
      </c>
      <c r="J7" s="3" t="s">
        <v>21</v>
      </c>
    </row>
    <row r="8" spans="1:10" x14ac:dyDescent="0.3">
      <c r="A8" s="13" t="s">
        <v>22</v>
      </c>
      <c r="B8" s="13" t="s">
        <v>91</v>
      </c>
      <c r="C8" s="15">
        <v>68042210</v>
      </c>
      <c r="D8" s="15"/>
      <c r="E8" s="13"/>
      <c r="F8" s="16"/>
      <c r="G8" s="16" t="s">
        <v>162</v>
      </c>
      <c r="H8" s="16" t="s">
        <v>150</v>
      </c>
      <c r="I8" s="16">
        <v>1.1399999999999999</v>
      </c>
      <c r="J8" s="3" t="s">
        <v>8</v>
      </c>
    </row>
    <row r="9" spans="1:10" x14ac:dyDescent="0.3">
      <c r="A9" s="13" t="s">
        <v>23</v>
      </c>
      <c r="B9" s="13" t="s">
        <v>92</v>
      </c>
      <c r="C9" s="15">
        <v>72041000</v>
      </c>
      <c r="D9" s="15"/>
      <c r="E9" s="13"/>
      <c r="F9" s="16"/>
      <c r="G9" s="16"/>
      <c r="H9" s="16" t="s">
        <v>151</v>
      </c>
      <c r="I9" s="16"/>
      <c r="J9" s="3" t="s">
        <v>24</v>
      </c>
    </row>
    <row r="10" spans="1:10" x14ac:dyDescent="0.3">
      <c r="A10" s="13" t="s">
        <v>25</v>
      </c>
      <c r="B10" s="13" t="s">
        <v>95</v>
      </c>
      <c r="C10" s="15">
        <v>73259910</v>
      </c>
      <c r="D10" s="15"/>
      <c r="E10" s="13"/>
      <c r="F10" s="16"/>
      <c r="G10" s="16"/>
      <c r="H10" s="16" t="s">
        <v>152</v>
      </c>
      <c r="I10" s="16"/>
      <c r="J10" s="3" t="s">
        <v>26</v>
      </c>
    </row>
    <row r="11" spans="1:10" x14ac:dyDescent="0.3">
      <c r="A11" s="13" t="s">
        <v>27</v>
      </c>
      <c r="B11" s="13" t="s">
        <v>96</v>
      </c>
      <c r="C11" s="15">
        <v>84669310</v>
      </c>
      <c r="D11" s="15"/>
      <c r="E11" s="13"/>
      <c r="F11" s="16"/>
      <c r="G11" s="16"/>
      <c r="H11" s="16" t="s">
        <v>153</v>
      </c>
      <c r="I11" s="16"/>
      <c r="J11" s="3" t="s">
        <v>5</v>
      </c>
    </row>
    <row r="12" spans="1:10" x14ac:dyDescent="0.3">
      <c r="A12" s="13" t="s">
        <v>28</v>
      </c>
      <c r="B12" s="13" t="s">
        <v>94</v>
      </c>
      <c r="C12" s="15">
        <v>73261990</v>
      </c>
      <c r="D12" s="15"/>
      <c r="E12" s="13"/>
      <c r="F12" s="16"/>
      <c r="G12" s="16"/>
      <c r="H12" s="16" t="s">
        <v>155</v>
      </c>
      <c r="I12" s="16"/>
      <c r="J12" s="3" t="s">
        <v>7</v>
      </c>
    </row>
    <row r="13" spans="1:10" x14ac:dyDescent="0.3">
      <c r="A13" s="13" t="s">
        <v>30</v>
      </c>
      <c r="B13" s="13" t="s">
        <v>97</v>
      </c>
      <c r="C13" s="15">
        <v>8413</v>
      </c>
      <c r="D13" s="15"/>
      <c r="E13" s="13"/>
      <c r="F13" s="16"/>
      <c r="G13" s="16"/>
      <c r="H13" s="16" t="s">
        <v>158</v>
      </c>
      <c r="I13" s="16"/>
      <c r="J13" s="3" t="s">
        <v>29</v>
      </c>
    </row>
    <row r="14" spans="1:10" x14ac:dyDescent="0.3">
      <c r="A14" s="13" t="s">
        <v>31</v>
      </c>
      <c r="B14" s="13" t="s">
        <v>98</v>
      </c>
      <c r="C14" s="15">
        <v>84858000</v>
      </c>
      <c r="D14" s="15"/>
      <c r="E14" s="13"/>
      <c r="F14" s="16"/>
      <c r="G14" s="16"/>
      <c r="H14" s="16" t="s">
        <v>160</v>
      </c>
      <c r="I14" s="16"/>
      <c r="J14" s="3" t="s">
        <v>32</v>
      </c>
    </row>
    <row r="15" spans="1:10" x14ac:dyDescent="0.3">
      <c r="A15" s="13" t="s">
        <v>33</v>
      </c>
      <c r="B15" s="13" t="s">
        <v>103</v>
      </c>
      <c r="C15" s="15">
        <v>8901</v>
      </c>
      <c r="D15" s="13"/>
      <c r="E15" s="13"/>
      <c r="F15" s="16"/>
      <c r="G15" s="16"/>
      <c r="H15" s="16" t="s">
        <v>161</v>
      </c>
      <c r="I15" s="16"/>
      <c r="J15" s="3" t="s">
        <v>34</v>
      </c>
    </row>
    <row r="16" spans="1:10" x14ac:dyDescent="0.3">
      <c r="A16" s="13" t="s">
        <v>14</v>
      </c>
      <c r="B16" s="13" t="s">
        <v>146</v>
      </c>
      <c r="C16" s="16">
        <v>722540</v>
      </c>
      <c r="D16" s="13"/>
      <c r="E16" s="13"/>
      <c r="F16" s="16"/>
      <c r="G16" s="16"/>
      <c r="H16" s="16" t="s">
        <v>163</v>
      </c>
      <c r="I16" s="16"/>
      <c r="J16" s="3" t="s">
        <v>35</v>
      </c>
    </row>
    <row r="17" spans="1:10" x14ac:dyDescent="0.3">
      <c r="A17" s="13" t="s">
        <v>36</v>
      </c>
      <c r="B17" s="13" t="s">
        <v>147</v>
      </c>
      <c r="C17" s="16">
        <v>731829</v>
      </c>
      <c r="D17" s="13"/>
      <c r="E17" s="13"/>
      <c r="F17" s="16"/>
      <c r="G17" s="16"/>
      <c r="H17" s="16" t="s">
        <v>164</v>
      </c>
      <c r="I17" s="16"/>
      <c r="J17" s="3" t="s">
        <v>37</v>
      </c>
    </row>
    <row r="18" spans="1:10" x14ac:dyDescent="0.3">
      <c r="A18" s="13" t="s">
        <v>38</v>
      </c>
      <c r="B18" s="13"/>
      <c r="C18" s="16">
        <v>84311090</v>
      </c>
      <c r="D18" s="13"/>
      <c r="E18" s="13"/>
      <c r="F18" s="16"/>
      <c r="G18" s="16"/>
      <c r="H18" s="16" t="s">
        <v>165</v>
      </c>
      <c r="I18" s="16"/>
      <c r="J18" s="3" t="s">
        <v>39</v>
      </c>
    </row>
    <row r="19" spans="1:10" ht="14.4" x14ac:dyDescent="0.3">
      <c r="A19" s="13" t="s">
        <v>40</v>
      </c>
      <c r="B19" s="13"/>
      <c r="C19" s="16">
        <v>730449</v>
      </c>
      <c r="D19" s="13"/>
      <c r="E19" s="17"/>
      <c r="F19" s="16"/>
      <c r="G19" s="16"/>
      <c r="H19" s="16"/>
      <c r="I19" s="16"/>
      <c r="J19" s="3" t="s">
        <v>41</v>
      </c>
    </row>
    <row r="20" spans="1:10" x14ac:dyDescent="0.3">
      <c r="A20" s="13" t="s">
        <v>42</v>
      </c>
      <c r="B20" s="13"/>
      <c r="C20" s="16">
        <v>84799040</v>
      </c>
      <c r="D20" s="13"/>
      <c r="E20" s="13"/>
      <c r="F20" s="16"/>
      <c r="G20" s="16"/>
      <c r="H20" s="16"/>
      <c r="I20" s="16"/>
      <c r="J20" s="3" t="s">
        <v>43</v>
      </c>
    </row>
    <row r="21" spans="1:10" x14ac:dyDescent="0.3">
      <c r="A21" s="13" t="s">
        <v>44</v>
      </c>
      <c r="B21" s="13"/>
      <c r="C21" s="16">
        <v>72155090</v>
      </c>
      <c r="D21" s="13"/>
      <c r="E21" s="13"/>
      <c r="F21" s="16"/>
      <c r="G21" s="16"/>
      <c r="H21" s="16"/>
      <c r="I21" s="16"/>
      <c r="J21" s="3" t="s">
        <v>45</v>
      </c>
    </row>
    <row r="22" spans="1:10" x14ac:dyDescent="0.3">
      <c r="A22" s="13" t="s">
        <v>46</v>
      </c>
      <c r="B22" s="13"/>
      <c r="C22" s="16">
        <v>73181500</v>
      </c>
      <c r="D22" s="13"/>
      <c r="E22" s="13"/>
      <c r="F22" s="16"/>
      <c r="G22" s="16"/>
      <c r="H22" s="16"/>
      <c r="I22" s="16"/>
      <c r="J22" s="3" t="s">
        <v>47</v>
      </c>
    </row>
    <row r="23" spans="1:10" x14ac:dyDescent="0.3">
      <c r="A23" s="13" t="s">
        <v>48</v>
      </c>
      <c r="B23" s="13"/>
      <c r="C23" s="16"/>
      <c r="D23" s="13"/>
      <c r="E23" s="13"/>
      <c r="F23" s="16"/>
      <c r="G23" s="16"/>
      <c r="H23" s="16"/>
      <c r="I23" s="16"/>
      <c r="J23" s="3" t="s">
        <v>49</v>
      </c>
    </row>
    <row r="24" spans="1:10" x14ac:dyDescent="0.3">
      <c r="A24" s="13" t="s">
        <v>15</v>
      </c>
      <c r="B24" s="13"/>
      <c r="C24" s="16"/>
      <c r="D24" s="13"/>
      <c r="E24" s="13"/>
      <c r="F24" s="16"/>
      <c r="G24" s="16"/>
      <c r="H24" s="16"/>
      <c r="I24" s="16"/>
      <c r="J24" s="3" t="s">
        <v>50</v>
      </c>
    </row>
    <row r="25" spans="1:10" x14ac:dyDescent="0.3">
      <c r="A25" s="13" t="s">
        <v>101</v>
      </c>
      <c r="B25" s="13"/>
      <c r="C25" s="16"/>
      <c r="D25" s="13"/>
      <c r="E25" s="13"/>
      <c r="F25" s="16"/>
      <c r="G25" s="16"/>
      <c r="H25" s="16"/>
      <c r="I25" s="16"/>
      <c r="J25" s="3" t="s">
        <v>52</v>
      </c>
    </row>
    <row r="26" spans="1:10" x14ac:dyDescent="0.3">
      <c r="A26" s="13" t="s">
        <v>51</v>
      </c>
      <c r="B26" s="13"/>
      <c r="C26" s="16"/>
      <c r="D26" s="13"/>
      <c r="E26" s="13"/>
      <c r="F26" s="16"/>
      <c r="G26" s="16"/>
      <c r="H26" s="16"/>
      <c r="I26" s="16"/>
      <c r="J26" s="3" t="s">
        <v>54</v>
      </c>
    </row>
    <row r="27" spans="1:10" ht="25.95" customHeight="1" x14ac:dyDescent="0.3">
      <c r="A27" s="13" t="s">
        <v>102</v>
      </c>
      <c r="B27" s="13"/>
      <c r="C27" s="16"/>
      <c r="D27" s="13"/>
      <c r="E27" s="13"/>
      <c r="F27" s="16"/>
      <c r="G27" s="16"/>
      <c r="H27" s="16"/>
      <c r="I27" s="16"/>
      <c r="J27" s="3" t="s">
        <v>56</v>
      </c>
    </row>
    <row r="28" spans="1:10" x14ac:dyDescent="0.3">
      <c r="A28" s="13" t="s">
        <v>53</v>
      </c>
      <c r="B28" s="13"/>
      <c r="C28" s="16"/>
      <c r="D28" s="13"/>
      <c r="E28" s="13"/>
      <c r="F28" s="16"/>
      <c r="G28" s="16"/>
      <c r="H28" s="16"/>
      <c r="I28" s="16"/>
      <c r="J28" s="3" t="s">
        <v>9</v>
      </c>
    </row>
    <row r="29" spans="1:10" x14ac:dyDescent="0.3">
      <c r="A29" s="13" t="s">
        <v>55</v>
      </c>
      <c r="B29" s="13"/>
      <c r="C29" s="16"/>
      <c r="D29" s="13"/>
      <c r="E29" s="13"/>
      <c r="F29" s="16"/>
      <c r="G29" s="16"/>
      <c r="H29" s="16"/>
      <c r="I29" s="16"/>
      <c r="J29" s="3" t="s">
        <v>59</v>
      </c>
    </row>
    <row r="30" spans="1:10" x14ac:dyDescent="0.3">
      <c r="A30" s="13" t="s">
        <v>57</v>
      </c>
      <c r="B30" s="13"/>
      <c r="C30" s="16"/>
      <c r="D30" s="13"/>
      <c r="E30" s="13"/>
      <c r="F30" s="16"/>
      <c r="G30" s="16"/>
      <c r="H30" s="16"/>
      <c r="I30" s="16"/>
      <c r="J30" s="3" t="s">
        <v>61</v>
      </c>
    </row>
    <row r="31" spans="1:10" x14ac:dyDescent="0.3">
      <c r="A31" s="13" t="s">
        <v>82</v>
      </c>
      <c r="B31" s="13"/>
      <c r="C31" s="16"/>
      <c r="D31" s="13"/>
      <c r="E31" s="13"/>
      <c r="F31" s="16"/>
      <c r="G31" s="16"/>
      <c r="H31" s="16"/>
      <c r="I31" s="16"/>
      <c r="J31" s="3" t="s">
        <v>63</v>
      </c>
    </row>
    <row r="32" spans="1:10" x14ac:dyDescent="0.3">
      <c r="A32" s="13" t="s">
        <v>58</v>
      </c>
      <c r="B32" s="13"/>
      <c r="C32" s="16"/>
      <c r="D32" s="13"/>
      <c r="E32" s="13"/>
      <c r="F32" s="16"/>
      <c r="G32" s="16"/>
      <c r="H32" s="16"/>
      <c r="I32" s="16"/>
      <c r="J32" s="3" t="s">
        <v>3</v>
      </c>
    </row>
    <row r="33" spans="1:10" x14ac:dyDescent="0.3">
      <c r="A33" s="13" t="s">
        <v>60</v>
      </c>
      <c r="B33" s="13"/>
      <c r="C33" s="16"/>
      <c r="D33" s="13"/>
      <c r="E33" s="13"/>
      <c r="F33" s="16"/>
      <c r="G33" s="16"/>
      <c r="H33" s="16"/>
      <c r="I33" s="16"/>
      <c r="J33" s="3" t="s">
        <v>6</v>
      </c>
    </row>
    <row r="34" spans="1:10" x14ac:dyDescent="0.3">
      <c r="A34" s="13" t="s">
        <v>62</v>
      </c>
      <c r="B34" s="13"/>
      <c r="C34" s="16"/>
      <c r="D34" s="13"/>
      <c r="E34" s="13"/>
      <c r="F34" s="16"/>
      <c r="G34" s="16"/>
      <c r="H34" s="16"/>
      <c r="I34" s="16"/>
      <c r="J34" s="3" t="s">
        <v>67</v>
      </c>
    </row>
    <row r="35" spans="1:10" ht="26.4" x14ac:dyDescent="0.3">
      <c r="A35" s="13" t="s">
        <v>64</v>
      </c>
      <c r="B35" s="13"/>
      <c r="C35" s="16"/>
      <c r="D35" s="13"/>
      <c r="E35" s="13"/>
      <c r="F35" s="16"/>
      <c r="G35" s="16"/>
      <c r="H35" s="16"/>
      <c r="I35" s="16"/>
      <c r="J35" s="3" t="s">
        <v>69</v>
      </c>
    </row>
    <row r="36" spans="1:10" x14ac:dyDescent="0.3">
      <c r="A36" s="13" t="s">
        <v>65</v>
      </c>
      <c r="B36" s="13"/>
      <c r="C36" s="16"/>
      <c r="D36" s="13"/>
      <c r="E36" s="13"/>
      <c r="F36" s="16"/>
      <c r="G36" s="16"/>
      <c r="H36" s="16"/>
      <c r="I36" s="16"/>
      <c r="J36" s="3" t="s">
        <v>1</v>
      </c>
    </row>
    <row r="37" spans="1:10" x14ac:dyDescent="0.3">
      <c r="A37" s="13" t="s">
        <v>66</v>
      </c>
      <c r="B37" s="13"/>
      <c r="C37" s="16"/>
      <c r="D37" s="13"/>
      <c r="E37" s="13"/>
      <c r="F37" s="16"/>
      <c r="G37" s="16"/>
      <c r="H37" s="16"/>
      <c r="I37" s="16"/>
      <c r="J37" s="3" t="s">
        <v>0</v>
      </c>
    </row>
    <row r="38" spans="1:10" x14ac:dyDescent="0.3">
      <c r="A38" s="13" t="s">
        <v>68</v>
      </c>
      <c r="B38" s="13"/>
      <c r="C38" s="16"/>
      <c r="D38" s="13"/>
      <c r="E38" s="13"/>
      <c r="F38" s="16"/>
      <c r="G38" s="16"/>
      <c r="H38" s="16"/>
      <c r="I38" s="16"/>
      <c r="J38" s="3" t="s">
        <v>73</v>
      </c>
    </row>
    <row r="39" spans="1:10" x14ac:dyDescent="0.3">
      <c r="A39" s="13" t="s">
        <v>70</v>
      </c>
      <c r="B39" s="13"/>
      <c r="C39" s="16"/>
      <c r="D39" s="13"/>
      <c r="E39" s="13"/>
      <c r="F39" s="16"/>
      <c r="G39" s="16"/>
      <c r="H39" s="16"/>
      <c r="I39" s="16"/>
      <c r="J39" s="18" t="s">
        <v>75</v>
      </c>
    </row>
    <row r="40" spans="1:10" x14ac:dyDescent="0.3">
      <c r="A40" s="13" t="s">
        <v>71</v>
      </c>
      <c r="B40" s="13"/>
      <c r="C40" s="16"/>
      <c r="D40" s="13"/>
      <c r="E40" s="13"/>
      <c r="F40" s="16"/>
      <c r="G40" s="16"/>
      <c r="H40" s="16"/>
      <c r="I40" s="16"/>
      <c r="J40" s="13"/>
    </row>
    <row r="41" spans="1:10" x14ac:dyDescent="0.3">
      <c r="A41" s="13" t="s">
        <v>72</v>
      </c>
      <c r="B41" s="13"/>
      <c r="C41" s="16"/>
      <c r="D41" s="13"/>
      <c r="E41" s="13"/>
      <c r="F41" s="16"/>
      <c r="G41" s="16"/>
      <c r="H41" s="16"/>
      <c r="I41" s="16"/>
      <c r="J41" s="13"/>
    </row>
    <row r="42" spans="1:10" x14ac:dyDescent="0.3">
      <c r="A42" s="13" t="s">
        <v>74</v>
      </c>
      <c r="B42" s="13"/>
      <c r="C42" s="16"/>
      <c r="D42" s="13"/>
      <c r="E42" s="13"/>
      <c r="F42" s="16"/>
      <c r="G42" s="16"/>
      <c r="H42" s="16"/>
      <c r="I42" s="16"/>
      <c r="J42" s="13"/>
    </row>
    <row r="43" spans="1:10" x14ac:dyDescent="0.3">
      <c r="A43" s="13" t="s">
        <v>76</v>
      </c>
      <c r="B43" s="13"/>
      <c r="C43" s="16"/>
      <c r="D43" s="13"/>
      <c r="E43" s="13"/>
      <c r="F43" s="16"/>
      <c r="G43" s="16"/>
      <c r="H43" s="16"/>
      <c r="I43" s="16"/>
      <c r="J43" s="13"/>
    </row>
    <row r="44" spans="1:10" x14ac:dyDescent="0.3">
      <c r="A44" s="13" t="s">
        <v>77</v>
      </c>
      <c r="B44" s="13"/>
      <c r="C44" s="16"/>
      <c r="D44" s="13"/>
      <c r="E44" s="13"/>
      <c r="F44" s="16"/>
      <c r="G44" s="16"/>
      <c r="H44" s="16"/>
      <c r="I44" s="16"/>
      <c r="J44" s="13"/>
    </row>
    <row r="45" spans="1:10" x14ac:dyDescent="0.3">
      <c r="A45" s="13" t="s">
        <v>78</v>
      </c>
      <c r="B45" s="13"/>
      <c r="C45" s="16"/>
      <c r="D45" s="13"/>
      <c r="E45" s="13"/>
      <c r="F45" s="16"/>
      <c r="G45" s="16"/>
      <c r="H45" s="16"/>
      <c r="I45" s="16"/>
      <c r="J45" s="13"/>
    </row>
    <row r="46" spans="1:10" x14ac:dyDescent="0.3">
      <c r="A46" s="13" t="s">
        <v>79</v>
      </c>
      <c r="B46" s="13"/>
      <c r="C46" s="16"/>
      <c r="D46" s="13"/>
      <c r="E46" s="13"/>
      <c r="F46" s="16"/>
      <c r="G46" s="16"/>
      <c r="H46" s="16"/>
      <c r="I46" s="16"/>
      <c r="J46" s="13"/>
    </row>
    <row r="47" spans="1:10" x14ac:dyDescent="0.3">
      <c r="A47" s="13" t="s">
        <v>80</v>
      </c>
      <c r="B47" s="13"/>
      <c r="C47" s="16"/>
      <c r="D47" s="13"/>
      <c r="E47" s="13"/>
      <c r="F47" s="16"/>
      <c r="G47" s="16"/>
      <c r="H47" s="16"/>
      <c r="I47" s="16"/>
      <c r="J47" s="13"/>
    </row>
    <row r="48" spans="1:10" x14ac:dyDescent="0.3">
      <c r="A48" s="13" t="s">
        <v>81</v>
      </c>
      <c r="B48" s="13"/>
      <c r="C48" s="16"/>
      <c r="D48" s="13"/>
      <c r="E48" s="13"/>
      <c r="F48" s="16"/>
      <c r="G48" s="16"/>
      <c r="H48" s="16"/>
      <c r="I48" s="16"/>
      <c r="J48" s="13"/>
    </row>
  </sheetData>
  <autoFilter ref="A1:D48"/>
  <dataValidations count="1">
    <dataValidation type="list" allowBlank="1" showInputMessage="1" showErrorMessage="1" sqref="G3">
      <formula1>MaterialType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68"/>
  <sheetViews>
    <sheetView zoomScaleNormal="100" workbookViewId="0">
      <selection activeCell="C20" sqref="C20"/>
    </sheetView>
  </sheetViews>
  <sheetFormatPr defaultColWidth="43.88671875" defaultRowHeight="13.8" x14ac:dyDescent="0.3"/>
  <cols>
    <col min="1" max="1" width="8.109375" style="10" bestFit="1" customWidth="1"/>
    <col min="2" max="2" width="13.21875" style="10" bestFit="1" customWidth="1"/>
    <col min="3" max="3" width="14.44140625" style="10" bestFit="1" customWidth="1"/>
    <col min="4" max="5" width="13.21875" style="10" bestFit="1" customWidth="1"/>
    <col min="6" max="6" width="20.109375" style="13" bestFit="1" customWidth="1"/>
    <col min="7" max="7" width="15.5546875" style="10" bestFit="1" customWidth="1"/>
    <col min="8" max="8" width="27" style="10" bestFit="1" customWidth="1"/>
    <col min="9" max="9" width="17.77734375" style="10" bestFit="1" customWidth="1"/>
    <col min="10" max="10" width="8.77734375" style="9" bestFit="1" customWidth="1"/>
    <col min="11" max="11" width="13.33203125" style="10" bestFit="1" customWidth="1"/>
    <col min="12" max="12" width="7.6640625" style="9" bestFit="1" customWidth="1"/>
    <col min="13" max="13" width="6.5546875" style="10" bestFit="1" customWidth="1"/>
    <col min="14" max="15" width="12.109375" style="9" bestFit="1" customWidth="1"/>
    <col min="16" max="16" width="27" style="9" bestFit="1" customWidth="1"/>
    <col min="17" max="17" width="17.88671875" style="10" bestFit="1" customWidth="1"/>
    <col min="18" max="18" width="12.109375" style="10" bestFit="1" customWidth="1"/>
    <col min="19" max="19" width="13.21875" style="10" bestFit="1" customWidth="1"/>
    <col min="20" max="20" width="13.21875" style="9" bestFit="1" customWidth="1"/>
    <col min="21" max="21" width="11.5546875" style="9" bestFit="1" customWidth="1"/>
    <col min="22" max="22" width="10.33203125" style="9" bestFit="1" customWidth="1"/>
    <col min="23" max="23" width="22.77734375" style="9" bestFit="1" customWidth="1"/>
    <col min="24" max="24" width="14.5546875" style="10" bestFit="1" customWidth="1"/>
    <col min="25" max="25" width="14.6640625" style="9" bestFit="1" customWidth="1"/>
    <col min="26" max="26" width="13.44140625" style="9" bestFit="1" customWidth="1"/>
    <col min="27" max="27" width="26" style="9" bestFit="1" customWidth="1"/>
    <col min="28" max="28" width="17.77734375" style="10" bestFit="1" customWidth="1"/>
    <col min="29" max="29" width="15.5546875" style="9" bestFit="1" customWidth="1"/>
    <col min="30" max="30" width="9.109375" style="9" bestFit="1" customWidth="1"/>
    <col min="31" max="31" width="9.109375" style="10" bestFit="1" customWidth="1"/>
    <col min="32" max="32" width="15.21875" style="26" customWidth="1"/>
    <col min="33" max="16384" width="43.88671875" style="10"/>
  </cols>
  <sheetData>
    <row r="1" spans="1:32" ht="19.5" customHeight="1" x14ac:dyDescent="0.3">
      <c r="A1" s="68" t="s">
        <v>130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70" t="s">
        <v>132</v>
      </c>
      <c r="R1" s="71"/>
      <c r="S1" s="71"/>
      <c r="T1" s="67" t="s">
        <v>187</v>
      </c>
      <c r="U1" s="69" t="s">
        <v>117</v>
      </c>
      <c r="V1" s="69"/>
      <c r="W1" s="69"/>
      <c r="X1" s="69"/>
      <c r="Y1" s="69" t="s">
        <v>118</v>
      </c>
      <c r="Z1" s="69"/>
      <c r="AA1" s="69"/>
      <c r="AB1" s="69"/>
      <c r="AC1" s="69"/>
      <c r="AD1" s="69"/>
      <c r="AE1" s="69"/>
      <c r="AF1" s="60"/>
    </row>
    <row r="2" spans="1:32" s="24" customFormat="1" ht="19.95" customHeight="1" x14ac:dyDescent="0.3">
      <c r="A2" s="14" t="s">
        <v>104</v>
      </c>
      <c r="B2" s="52" t="s">
        <v>105</v>
      </c>
      <c r="C2" s="52" t="s">
        <v>106</v>
      </c>
      <c r="D2" s="52" t="s">
        <v>107</v>
      </c>
      <c r="E2" s="52" t="s">
        <v>108</v>
      </c>
      <c r="F2" s="51" t="s">
        <v>84</v>
      </c>
      <c r="G2" s="22" t="s">
        <v>109</v>
      </c>
      <c r="H2" s="22" t="s">
        <v>110</v>
      </c>
      <c r="I2" s="20" t="s">
        <v>116</v>
      </c>
      <c r="J2" s="8" t="s">
        <v>115</v>
      </c>
      <c r="K2" s="52" t="s">
        <v>83</v>
      </c>
      <c r="L2" s="8" t="s">
        <v>111</v>
      </c>
      <c r="M2" s="20" t="s">
        <v>112</v>
      </c>
      <c r="N2" s="53" t="s">
        <v>99</v>
      </c>
      <c r="O2" s="53" t="s">
        <v>100</v>
      </c>
      <c r="P2" s="53" t="s">
        <v>131</v>
      </c>
      <c r="Q2" s="54" t="s">
        <v>119</v>
      </c>
      <c r="R2" s="54" t="s">
        <v>120</v>
      </c>
      <c r="S2" s="54" t="s">
        <v>122</v>
      </c>
      <c r="T2" s="54" t="s">
        <v>121</v>
      </c>
      <c r="U2" s="7" t="s">
        <v>166</v>
      </c>
      <c r="V2" s="7" t="s">
        <v>167</v>
      </c>
      <c r="W2" s="7" t="s">
        <v>168</v>
      </c>
      <c r="X2" s="14" t="s">
        <v>169</v>
      </c>
      <c r="Y2" s="7" t="s">
        <v>170</v>
      </c>
      <c r="Z2" s="7" t="s">
        <v>171</v>
      </c>
      <c r="AA2" s="7" t="s">
        <v>172</v>
      </c>
      <c r="AB2" s="14" t="s">
        <v>173</v>
      </c>
      <c r="AC2" s="54" t="s">
        <v>137</v>
      </c>
      <c r="AD2" s="7" t="s">
        <v>136</v>
      </c>
      <c r="AE2" s="56" t="s">
        <v>139</v>
      </c>
      <c r="AF2" s="58" t="s">
        <v>156</v>
      </c>
    </row>
    <row r="3" spans="1:32" ht="19.5" customHeight="1" x14ac:dyDescent="0.3">
      <c r="A3" s="27">
        <v>1</v>
      </c>
      <c r="B3" s="28"/>
      <c r="C3" s="28"/>
      <c r="D3" s="28"/>
      <c r="E3" s="29"/>
      <c r="F3" s="30" t="s">
        <v>88</v>
      </c>
      <c r="G3" s="29" t="s">
        <v>174</v>
      </c>
      <c r="H3" s="31" t="s">
        <v>185</v>
      </c>
      <c r="I3" s="31" t="s">
        <v>140</v>
      </c>
      <c r="J3" s="27">
        <v>1</v>
      </c>
      <c r="K3" s="29" t="s">
        <v>57</v>
      </c>
      <c r="L3" s="32">
        <v>1</v>
      </c>
      <c r="M3" s="29"/>
      <c r="N3" s="27">
        <v>84663020</v>
      </c>
      <c r="O3" s="27">
        <v>9900887</v>
      </c>
      <c r="P3" s="32" t="s">
        <v>114</v>
      </c>
      <c r="Q3" s="29"/>
      <c r="R3" s="29"/>
      <c r="S3" s="29"/>
      <c r="T3" s="32"/>
      <c r="U3" s="61"/>
      <c r="V3" s="61"/>
      <c r="W3" s="61"/>
      <c r="X3" s="28"/>
      <c r="Y3" s="57"/>
      <c r="Z3" s="57"/>
      <c r="AA3" s="57"/>
      <c r="AB3" s="23"/>
      <c r="AC3" s="55"/>
      <c r="AD3" s="57"/>
      <c r="AE3" s="23"/>
      <c r="AF3" s="59"/>
    </row>
    <row r="4" spans="1:32" s="62" customFormat="1" ht="19.5" customHeight="1" x14ac:dyDescent="0.3">
      <c r="A4" s="46">
        <v>2</v>
      </c>
      <c r="B4" s="62" t="s">
        <v>174</v>
      </c>
      <c r="C4" s="47"/>
      <c r="D4" s="47"/>
      <c r="E4" s="47"/>
      <c r="F4" s="47" t="s">
        <v>91</v>
      </c>
      <c r="G4" s="47" t="s">
        <v>175</v>
      </c>
      <c r="H4" s="47" t="s">
        <v>186</v>
      </c>
      <c r="I4" s="47" t="s">
        <v>140</v>
      </c>
      <c r="J4" s="48">
        <v>2</v>
      </c>
      <c r="K4" s="47" t="s">
        <v>57</v>
      </c>
      <c r="L4" s="48">
        <v>1</v>
      </c>
      <c r="M4" s="47"/>
      <c r="N4" s="48"/>
      <c r="O4" s="48"/>
      <c r="P4" s="48" t="s">
        <v>114</v>
      </c>
      <c r="Q4" s="47"/>
      <c r="R4" s="47"/>
      <c r="S4" s="47"/>
      <c r="T4" s="48"/>
      <c r="U4" s="46"/>
      <c r="V4" s="46"/>
      <c r="W4" s="46"/>
      <c r="X4" s="46"/>
      <c r="Y4" s="46"/>
      <c r="Z4" s="46"/>
      <c r="AA4" s="46"/>
      <c r="AB4" s="46"/>
      <c r="AC4" s="48"/>
      <c r="AD4" s="46"/>
      <c r="AE4" s="49"/>
      <c r="AF4" s="46"/>
    </row>
    <row r="5" spans="1:32" s="12" customFormat="1" ht="19.5" customHeight="1" x14ac:dyDescent="0.3">
      <c r="A5" s="33">
        <v>3</v>
      </c>
      <c r="B5" s="35"/>
      <c r="C5" s="35" t="s">
        <v>175</v>
      </c>
      <c r="D5" s="35"/>
      <c r="E5" s="35"/>
      <c r="F5" s="41" t="s">
        <v>87</v>
      </c>
      <c r="G5" s="41" t="s">
        <v>176</v>
      </c>
      <c r="H5" s="35" t="s">
        <v>140</v>
      </c>
      <c r="I5" s="35" t="s">
        <v>140</v>
      </c>
      <c r="J5" s="42">
        <v>1</v>
      </c>
      <c r="K5" s="35" t="s">
        <v>57</v>
      </c>
      <c r="L5" s="42">
        <v>1</v>
      </c>
      <c r="M5" s="35"/>
      <c r="N5" s="42"/>
      <c r="O5" s="42"/>
      <c r="P5" s="42" t="s">
        <v>114</v>
      </c>
      <c r="Q5" s="35" t="s">
        <v>124</v>
      </c>
      <c r="R5" s="35" t="s">
        <v>141</v>
      </c>
      <c r="S5" s="35" t="s">
        <v>142</v>
      </c>
      <c r="T5" s="42">
        <v>2.8</v>
      </c>
      <c r="U5" s="33">
        <v>1060</v>
      </c>
      <c r="V5" s="33">
        <v>104</v>
      </c>
      <c r="W5" s="33">
        <v>47.5</v>
      </c>
      <c r="X5" s="33"/>
      <c r="Y5" s="36">
        <f t="shared" ref="Y5:AA5" si="0">U5+5</f>
        <v>1065</v>
      </c>
      <c r="Z5" s="36">
        <f t="shared" si="0"/>
        <v>109</v>
      </c>
      <c r="AA5" s="36">
        <f t="shared" si="0"/>
        <v>52.5</v>
      </c>
      <c r="AB5" s="36"/>
      <c r="AC5" s="37" t="s">
        <v>44</v>
      </c>
      <c r="AD5" s="33">
        <v>1</v>
      </c>
      <c r="AE5" s="38">
        <f t="shared" ref="AE5" si="1">Y5*Z5*AA5*T5/1000000</f>
        <v>17.064495000000001</v>
      </c>
      <c r="AF5" s="36"/>
    </row>
    <row r="6" spans="1:32" s="12" customFormat="1" ht="19.5" customHeight="1" x14ac:dyDescent="0.3">
      <c r="A6" s="33">
        <v>4</v>
      </c>
      <c r="B6" s="35"/>
      <c r="C6" s="35" t="s">
        <v>175</v>
      </c>
      <c r="D6" s="35"/>
      <c r="E6" s="35"/>
      <c r="F6" s="41" t="s">
        <v>95</v>
      </c>
      <c r="G6" s="41" t="s">
        <v>179</v>
      </c>
      <c r="H6" s="35" t="s">
        <v>140</v>
      </c>
      <c r="I6" s="35" t="s">
        <v>140</v>
      </c>
      <c r="J6" s="42">
        <v>1</v>
      </c>
      <c r="K6" s="35" t="s">
        <v>57</v>
      </c>
      <c r="L6" s="42">
        <v>1</v>
      </c>
      <c r="M6" s="35"/>
      <c r="N6" s="42"/>
      <c r="O6" s="42"/>
      <c r="P6" s="42" t="s">
        <v>138</v>
      </c>
      <c r="Q6" s="35"/>
      <c r="R6" s="35"/>
      <c r="S6" s="35"/>
      <c r="T6" s="42"/>
      <c r="U6" s="33"/>
      <c r="V6" s="33"/>
      <c r="W6" s="33"/>
      <c r="X6" s="33"/>
      <c r="Y6" s="36"/>
      <c r="Z6" s="36"/>
      <c r="AA6" s="36"/>
      <c r="AB6" s="36"/>
      <c r="AC6" s="37"/>
      <c r="AD6" s="33"/>
      <c r="AE6" s="38"/>
      <c r="AF6" s="36"/>
    </row>
    <row r="7" spans="1:32" s="12" customFormat="1" ht="19.5" customHeight="1" x14ac:dyDescent="0.3">
      <c r="A7" s="33">
        <v>5</v>
      </c>
      <c r="B7" s="35"/>
      <c r="C7" s="35" t="s">
        <v>175</v>
      </c>
      <c r="D7" s="35"/>
      <c r="E7" s="35"/>
      <c r="F7" s="41" t="s">
        <v>95</v>
      </c>
      <c r="G7" s="41" t="s">
        <v>180</v>
      </c>
      <c r="H7" s="35" t="s">
        <v>140</v>
      </c>
      <c r="I7" s="35" t="s">
        <v>140</v>
      </c>
      <c r="J7" s="42">
        <v>1</v>
      </c>
      <c r="K7" s="35" t="s">
        <v>57</v>
      </c>
      <c r="L7" s="42">
        <v>1</v>
      </c>
      <c r="M7" s="35"/>
      <c r="N7" s="42"/>
      <c r="O7" s="42"/>
      <c r="P7" s="42" t="s">
        <v>138</v>
      </c>
      <c r="Q7" s="35"/>
      <c r="R7" s="35"/>
      <c r="S7" s="35"/>
      <c r="T7" s="42"/>
      <c r="U7" s="33"/>
      <c r="V7" s="33"/>
      <c r="W7" s="33"/>
      <c r="X7" s="33"/>
      <c r="Y7" s="36"/>
      <c r="Z7" s="36"/>
      <c r="AA7" s="36"/>
      <c r="AB7" s="36"/>
      <c r="AC7" s="37"/>
      <c r="AD7" s="33"/>
      <c r="AE7" s="38"/>
      <c r="AF7" s="36"/>
    </row>
    <row r="8" spans="1:32" s="12" customFormat="1" ht="19.5" customHeight="1" x14ac:dyDescent="0.3">
      <c r="A8" s="33">
        <v>6</v>
      </c>
      <c r="B8" s="35"/>
      <c r="C8" s="35" t="s">
        <v>175</v>
      </c>
      <c r="D8" s="35"/>
      <c r="E8" s="35"/>
      <c r="F8" s="41" t="s">
        <v>95</v>
      </c>
      <c r="G8" s="41" t="s">
        <v>181</v>
      </c>
      <c r="H8" s="35" t="s">
        <v>140</v>
      </c>
      <c r="I8" s="35" t="s">
        <v>140</v>
      </c>
      <c r="J8" s="42">
        <v>1</v>
      </c>
      <c r="K8" s="35" t="s">
        <v>57</v>
      </c>
      <c r="L8" s="42">
        <v>1</v>
      </c>
      <c r="M8" s="35"/>
      <c r="N8" s="42"/>
      <c r="O8" s="42"/>
      <c r="P8" s="42" t="s">
        <v>138</v>
      </c>
      <c r="Q8" s="35"/>
      <c r="R8" s="35"/>
      <c r="S8" s="35"/>
      <c r="T8" s="42"/>
      <c r="U8" s="33"/>
      <c r="V8" s="33"/>
      <c r="W8" s="33"/>
      <c r="X8" s="33"/>
      <c r="Y8" s="36"/>
      <c r="Z8" s="36"/>
      <c r="AA8" s="36"/>
      <c r="AB8" s="36"/>
      <c r="AC8" s="37"/>
      <c r="AD8" s="33"/>
      <c r="AE8" s="38"/>
      <c r="AF8" s="36"/>
    </row>
    <row r="9" spans="1:32" s="62" customFormat="1" ht="19.5" customHeight="1" x14ac:dyDescent="0.3">
      <c r="A9" s="46">
        <v>7</v>
      </c>
      <c r="B9" s="62" t="s">
        <v>174</v>
      </c>
      <c r="F9" s="63" t="s">
        <v>91</v>
      </c>
      <c r="G9" s="62" t="s">
        <v>177</v>
      </c>
      <c r="H9" s="62" t="s">
        <v>186</v>
      </c>
      <c r="I9" s="47" t="s">
        <v>140</v>
      </c>
      <c r="J9" s="46">
        <v>2</v>
      </c>
      <c r="K9" s="35" t="s">
        <v>57</v>
      </c>
      <c r="L9" s="46">
        <v>1</v>
      </c>
      <c r="N9" s="46"/>
      <c r="O9" s="46"/>
      <c r="P9" s="42" t="s">
        <v>114</v>
      </c>
      <c r="T9" s="46"/>
      <c r="U9" s="46"/>
      <c r="V9" s="46"/>
      <c r="W9" s="46"/>
      <c r="Y9" s="46"/>
      <c r="Z9" s="46"/>
      <c r="AA9" s="46"/>
      <c r="AB9" s="50"/>
      <c r="AC9" s="48"/>
      <c r="AD9" s="48"/>
      <c r="AE9" s="50"/>
      <c r="AF9" s="46"/>
    </row>
    <row r="10" spans="1:32" s="12" customFormat="1" ht="19.5" customHeight="1" x14ac:dyDescent="0.3">
      <c r="A10" s="33">
        <v>8</v>
      </c>
      <c r="B10" s="64"/>
      <c r="C10" s="64" t="s">
        <v>177</v>
      </c>
      <c r="D10" s="64"/>
      <c r="E10" s="64"/>
      <c r="F10" s="65" t="s">
        <v>95</v>
      </c>
      <c r="G10" s="41" t="s">
        <v>182</v>
      </c>
      <c r="H10" s="64" t="s">
        <v>140</v>
      </c>
      <c r="I10" s="35" t="s">
        <v>140</v>
      </c>
      <c r="J10" s="36">
        <v>1</v>
      </c>
      <c r="K10" s="35" t="s">
        <v>57</v>
      </c>
      <c r="L10" s="36">
        <v>1</v>
      </c>
      <c r="M10" s="64"/>
      <c r="N10" s="36"/>
      <c r="O10" s="36"/>
      <c r="P10" s="42" t="s">
        <v>138</v>
      </c>
      <c r="Q10" s="64"/>
      <c r="R10" s="64"/>
      <c r="S10" s="64"/>
      <c r="T10" s="36"/>
      <c r="U10" s="36"/>
      <c r="V10" s="36"/>
      <c r="W10" s="36"/>
      <c r="X10" s="64"/>
      <c r="Y10" s="36"/>
      <c r="Z10" s="36"/>
      <c r="AA10" s="36"/>
      <c r="AB10" s="40"/>
      <c r="AC10" s="37"/>
      <c r="AD10" s="37"/>
      <c r="AE10" s="40"/>
      <c r="AF10" s="36"/>
    </row>
    <row r="11" spans="1:32" s="12" customFormat="1" ht="19.5" customHeight="1" x14ac:dyDescent="0.3">
      <c r="A11" s="33">
        <v>9</v>
      </c>
      <c r="B11" s="64"/>
      <c r="C11" s="64" t="s">
        <v>177</v>
      </c>
      <c r="D11" s="64"/>
      <c r="E11" s="64"/>
      <c r="F11" s="65" t="s">
        <v>95</v>
      </c>
      <c r="G11" s="41" t="s">
        <v>183</v>
      </c>
      <c r="H11" s="64" t="s">
        <v>140</v>
      </c>
      <c r="I11" s="35" t="s">
        <v>140</v>
      </c>
      <c r="J11" s="36">
        <v>2</v>
      </c>
      <c r="K11" s="35" t="s">
        <v>57</v>
      </c>
      <c r="L11" s="36">
        <v>1</v>
      </c>
      <c r="M11" s="64"/>
      <c r="N11" s="36"/>
      <c r="O11" s="36"/>
      <c r="P11" s="42" t="s">
        <v>138</v>
      </c>
      <c r="Q11" s="64"/>
      <c r="R11" s="64"/>
      <c r="S11" s="64"/>
      <c r="T11" s="36"/>
      <c r="U11" s="36"/>
      <c r="V11" s="36"/>
      <c r="W11" s="36"/>
      <c r="X11" s="64"/>
      <c r="Y11" s="36"/>
      <c r="Z11" s="36"/>
      <c r="AA11" s="36"/>
      <c r="AB11" s="40"/>
      <c r="AC11" s="37"/>
      <c r="AD11" s="37"/>
      <c r="AE11" s="40"/>
      <c r="AF11" s="36"/>
    </row>
    <row r="12" spans="1:32" s="12" customFormat="1" ht="19.5" customHeight="1" x14ac:dyDescent="0.3">
      <c r="A12" s="33">
        <v>10</v>
      </c>
      <c r="B12" s="64"/>
      <c r="C12" s="64" t="s">
        <v>177</v>
      </c>
      <c r="D12" s="64"/>
      <c r="E12" s="64"/>
      <c r="F12" s="65" t="s">
        <v>95</v>
      </c>
      <c r="G12" s="41" t="s">
        <v>184</v>
      </c>
      <c r="H12" s="64" t="s">
        <v>140</v>
      </c>
      <c r="I12" s="35" t="s">
        <v>140</v>
      </c>
      <c r="J12" s="36">
        <v>4</v>
      </c>
      <c r="K12" s="35" t="s">
        <v>57</v>
      </c>
      <c r="L12" s="36">
        <v>1</v>
      </c>
      <c r="M12" s="64"/>
      <c r="N12" s="36"/>
      <c r="O12" s="36"/>
      <c r="P12" s="42" t="s">
        <v>138</v>
      </c>
      <c r="Q12" s="64"/>
      <c r="R12" s="64"/>
      <c r="S12" s="64"/>
      <c r="T12" s="36"/>
      <c r="U12" s="36"/>
      <c r="V12" s="36"/>
      <c r="W12" s="36"/>
      <c r="X12" s="64"/>
      <c r="Y12" s="36"/>
      <c r="Z12" s="36"/>
      <c r="AA12" s="36"/>
      <c r="AB12" s="40"/>
      <c r="AC12" s="37"/>
      <c r="AD12" s="37"/>
      <c r="AE12" s="40"/>
      <c r="AF12" s="36"/>
    </row>
    <row r="13" spans="1:32" s="14" customFormat="1" ht="19.5" customHeight="1" x14ac:dyDescent="0.3">
      <c r="A13" s="43">
        <v>11</v>
      </c>
      <c r="B13" s="14" t="s">
        <v>174</v>
      </c>
      <c r="F13" s="66" t="s">
        <v>87</v>
      </c>
      <c r="G13" s="44" t="s">
        <v>178</v>
      </c>
      <c r="H13" s="14" t="s">
        <v>140</v>
      </c>
      <c r="I13" s="35" t="s">
        <v>140</v>
      </c>
      <c r="J13" s="7">
        <v>4</v>
      </c>
      <c r="K13" s="35" t="s">
        <v>57</v>
      </c>
      <c r="L13" s="7">
        <v>1</v>
      </c>
      <c r="N13" s="7"/>
      <c r="O13" s="7"/>
      <c r="P13" s="42" t="s">
        <v>138</v>
      </c>
      <c r="Q13" s="14" t="s">
        <v>126</v>
      </c>
      <c r="R13" s="14" t="s">
        <v>141</v>
      </c>
      <c r="S13" s="14" t="s">
        <v>142</v>
      </c>
      <c r="T13" s="7">
        <v>2.8</v>
      </c>
      <c r="U13" s="7">
        <v>1000</v>
      </c>
      <c r="V13" s="7">
        <v>1000</v>
      </c>
      <c r="W13" s="7">
        <v>20</v>
      </c>
      <c r="Y13" s="7">
        <v>1100</v>
      </c>
      <c r="Z13" s="7">
        <v>1100</v>
      </c>
      <c r="AA13" s="7">
        <v>25</v>
      </c>
      <c r="AB13" s="20"/>
      <c r="AC13" s="37" t="s">
        <v>44</v>
      </c>
      <c r="AD13" s="8">
        <v>4</v>
      </c>
      <c r="AE13" s="38">
        <f t="shared" ref="AE13" si="2">Y13*Z13*AA13*T13/1000000</f>
        <v>84.7</v>
      </c>
      <c r="AF13" s="7"/>
    </row>
    <row r="14" spans="1:32" ht="19.5" customHeight="1" x14ac:dyDescent="0.3">
      <c r="A14" s="34"/>
      <c r="B14" s="34"/>
      <c r="C14" s="34"/>
      <c r="D14" s="34"/>
      <c r="E14" s="34"/>
      <c r="F14" s="39"/>
      <c r="G14" s="34"/>
      <c r="H14" s="34"/>
      <c r="I14" s="34"/>
      <c r="J14" s="45"/>
      <c r="K14" s="34"/>
      <c r="L14" s="45"/>
      <c r="M14" s="34"/>
      <c r="N14" s="45"/>
      <c r="O14" s="45"/>
      <c r="P14" s="45"/>
      <c r="Q14" s="34"/>
      <c r="R14" s="34"/>
      <c r="S14" s="34"/>
      <c r="T14" s="45"/>
      <c r="U14" s="45"/>
      <c r="V14" s="45"/>
      <c r="W14" s="45"/>
      <c r="X14" s="34"/>
      <c r="Y14" s="45"/>
      <c r="Z14" s="45"/>
      <c r="AA14" s="45"/>
      <c r="AB14" s="40"/>
      <c r="AC14" s="37"/>
      <c r="AD14" s="37"/>
      <c r="AE14" s="40"/>
      <c r="AF14" s="36"/>
    </row>
    <row r="15" spans="1:32" ht="19.5" customHeight="1" x14ac:dyDescent="0.3">
      <c r="A15" s="34"/>
      <c r="B15" s="34"/>
      <c r="C15" s="34"/>
      <c r="D15" s="34"/>
      <c r="E15" s="34"/>
      <c r="F15" s="39"/>
      <c r="G15" s="34"/>
      <c r="H15" s="34"/>
      <c r="I15" s="34"/>
      <c r="J15" s="45"/>
      <c r="K15" s="34"/>
      <c r="L15" s="45"/>
      <c r="M15" s="34"/>
      <c r="N15" s="45"/>
      <c r="O15" s="45"/>
      <c r="P15" s="45"/>
      <c r="Q15" s="34"/>
      <c r="R15" s="34"/>
      <c r="S15" s="34"/>
      <c r="T15" s="45"/>
      <c r="U15" s="45"/>
      <c r="V15" s="45"/>
      <c r="W15" s="45"/>
      <c r="X15" s="34"/>
      <c r="Y15" s="45"/>
      <c r="Z15" s="45"/>
      <c r="AA15" s="45"/>
      <c r="AB15" s="40"/>
      <c r="AC15" s="37"/>
      <c r="AD15" s="37"/>
      <c r="AE15" s="40"/>
      <c r="AF15" s="36"/>
    </row>
    <row r="16" spans="1:32" ht="19.5" customHeight="1" x14ac:dyDescent="0.3">
      <c r="A16" s="34"/>
      <c r="B16" s="34"/>
      <c r="C16" s="34"/>
      <c r="D16" s="34"/>
      <c r="E16" s="34"/>
      <c r="F16" s="39"/>
      <c r="G16" s="34"/>
      <c r="H16" s="34"/>
      <c r="I16" s="34"/>
      <c r="J16" s="45"/>
      <c r="K16" s="34"/>
      <c r="L16" s="45"/>
      <c r="M16" s="34"/>
      <c r="N16" s="45"/>
      <c r="O16" s="45"/>
      <c r="P16" s="45"/>
      <c r="Q16" s="34"/>
      <c r="R16" s="34"/>
      <c r="S16" s="34"/>
      <c r="T16" s="45"/>
      <c r="U16" s="45"/>
      <c r="V16" s="45"/>
      <c r="W16" s="45"/>
      <c r="X16" s="34"/>
      <c r="Y16" s="45"/>
      <c r="Z16" s="45"/>
      <c r="AA16" s="45"/>
      <c r="AB16" s="40"/>
      <c r="AC16" s="37"/>
      <c r="AD16" s="37"/>
      <c r="AE16" s="40"/>
      <c r="AF16" s="36"/>
    </row>
    <row r="17" spans="1:32" ht="19.5" customHeight="1" x14ac:dyDescent="0.3">
      <c r="A17" s="34"/>
      <c r="B17" s="34"/>
      <c r="C17" s="34"/>
      <c r="D17" s="34"/>
      <c r="E17" s="34"/>
      <c r="F17" s="39"/>
      <c r="G17" s="34"/>
      <c r="H17" s="34"/>
      <c r="I17" s="34"/>
      <c r="J17" s="45"/>
      <c r="K17" s="34"/>
      <c r="L17" s="45"/>
      <c r="M17" s="34"/>
      <c r="N17" s="45"/>
      <c r="O17" s="45"/>
      <c r="P17" s="45"/>
      <c r="Q17" s="34"/>
      <c r="R17" s="34"/>
      <c r="S17" s="34"/>
      <c r="T17" s="45"/>
      <c r="U17" s="45"/>
      <c r="V17" s="45"/>
      <c r="W17" s="45"/>
      <c r="X17" s="34"/>
      <c r="Y17" s="45"/>
      <c r="Z17" s="45"/>
      <c r="AA17" s="45"/>
      <c r="AB17" s="40"/>
      <c r="AC17" s="37"/>
      <c r="AD17" s="37"/>
      <c r="AE17" s="40"/>
      <c r="AF17" s="36"/>
    </row>
    <row r="18" spans="1:32" ht="19.5" customHeight="1" x14ac:dyDescent="0.3">
      <c r="A18" s="34"/>
      <c r="B18" s="34"/>
      <c r="C18" s="34"/>
      <c r="D18" s="34"/>
      <c r="E18" s="34"/>
      <c r="F18" s="39"/>
      <c r="G18" s="34"/>
      <c r="H18" s="34"/>
      <c r="I18" s="34"/>
      <c r="J18" s="45"/>
      <c r="K18" s="34"/>
      <c r="L18" s="45"/>
      <c r="M18" s="34"/>
      <c r="N18" s="45"/>
      <c r="O18" s="45"/>
      <c r="P18" s="45"/>
      <c r="Q18" s="34"/>
      <c r="R18" s="34"/>
      <c r="S18" s="34"/>
      <c r="T18" s="45"/>
      <c r="U18" s="45"/>
      <c r="V18" s="45"/>
      <c r="W18" s="45"/>
      <c r="X18" s="34"/>
      <c r="Y18" s="45"/>
      <c r="Z18" s="45"/>
      <c r="AA18" s="45"/>
      <c r="AB18" s="40"/>
      <c r="AC18" s="37"/>
      <c r="AD18" s="37"/>
      <c r="AE18" s="40"/>
      <c r="AF18" s="36"/>
    </row>
    <row r="19" spans="1:32" ht="19.5" customHeight="1" x14ac:dyDescent="0.3">
      <c r="A19" s="34"/>
      <c r="B19" s="34"/>
      <c r="C19" s="34"/>
      <c r="D19" s="34"/>
      <c r="E19" s="34"/>
      <c r="F19" s="39"/>
      <c r="G19" s="34"/>
      <c r="H19" s="34"/>
      <c r="I19" s="34"/>
      <c r="J19" s="45"/>
      <c r="K19" s="34"/>
      <c r="L19" s="45"/>
      <c r="M19" s="34"/>
      <c r="N19" s="45"/>
      <c r="O19" s="45"/>
      <c r="P19" s="45"/>
      <c r="Q19" s="34"/>
      <c r="R19" s="34"/>
      <c r="S19" s="34"/>
      <c r="T19" s="45"/>
      <c r="U19" s="45"/>
      <c r="V19" s="45"/>
      <c r="W19" s="45"/>
      <c r="X19" s="34"/>
      <c r="Y19" s="45"/>
      <c r="Z19" s="45"/>
      <c r="AA19" s="45"/>
      <c r="AB19" s="40"/>
      <c r="AC19" s="37"/>
      <c r="AD19" s="37"/>
      <c r="AE19" s="40"/>
      <c r="AF19" s="36"/>
    </row>
    <row r="20" spans="1:32" ht="19.5" customHeight="1" x14ac:dyDescent="0.3">
      <c r="A20" s="34"/>
      <c r="B20" s="34"/>
      <c r="C20" s="34"/>
      <c r="D20" s="34"/>
      <c r="E20" s="34"/>
      <c r="F20" s="39"/>
      <c r="G20" s="34"/>
      <c r="H20" s="34"/>
      <c r="I20" s="34"/>
      <c r="J20" s="45"/>
      <c r="K20" s="34"/>
      <c r="L20" s="45"/>
      <c r="M20" s="34"/>
      <c r="N20" s="45"/>
      <c r="O20" s="45"/>
      <c r="P20" s="45"/>
      <c r="Q20" s="34"/>
      <c r="R20" s="34"/>
      <c r="S20" s="34"/>
      <c r="T20" s="45"/>
      <c r="U20" s="45"/>
      <c r="V20" s="45"/>
      <c r="W20" s="45"/>
      <c r="X20" s="34"/>
      <c r="Y20" s="45"/>
      <c r="Z20" s="45"/>
      <c r="AA20" s="45"/>
      <c r="AB20" s="40"/>
      <c r="AC20" s="37"/>
      <c r="AD20" s="37"/>
      <c r="AE20" s="40"/>
      <c r="AF20" s="36"/>
    </row>
    <row r="21" spans="1:32" ht="19.5" customHeight="1" x14ac:dyDescent="0.3">
      <c r="A21" s="34"/>
      <c r="B21" s="34"/>
      <c r="C21" s="34"/>
      <c r="D21" s="34"/>
      <c r="E21" s="34"/>
      <c r="F21" s="39"/>
      <c r="G21" s="34"/>
      <c r="H21" s="34"/>
      <c r="I21" s="34"/>
      <c r="J21" s="45"/>
      <c r="K21" s="34"/>
      <c r="L21" s="45"/>
      <c r="M21" s="34"/>
      <c r="N21" s="45"/>
      <c r="O21" s="45"/>
      <c r="P21" s="45"/>
      <c r="Q21" s="34"/>
      <c r="R21" s="34"/>
      <c r="S21" s="34"/>
      <c r="T21" s="45"/>
      <c r="U21" s="45"/>
      <c r="V21" s="45"/>
      <c r="W21" s="45"/>
      <c r="X21" s="34"/>
      <c r="Y21" s="45"/>
      <c r="Z21" s="45"/>
      <c r="AA21" s="45"/>
      <c r="AB21" s="40"/>
      <c r="AC21" s="37"/>
      <c r="AD21" s="37"/>
      <c r="AE21" s="40"/>
      <c r="AF21" s="36"/>
    </row>
    <row r="22" spans="1:32" ht="19.5" customHeight="1" x14ac:dyDescent="0.3">
      <c r="A22" s="34"/>
      <c r="B22" s="34"/>
      <c r="C22" s="34"/>
      <c r="D22" s="34"/>
      <c r="E22" s="34"/>
      <c r="F22" s="39"/>
      <c r="G22" s="34"/>
      <c r="H22" s="34"/>
      <c r="I22" s="34"/>
      <c r="J22" s="45"/>
      <c r="K22" s="34"/>
      <c r="L22" s="45"/>
      <c r="M22" s="34"/>
      <c r="N22" s="45"/>
      <c r="O22" s="45"/>
      <c r="P22" s="45"/>
      <c r="Q22" s="34"/>
      <c r="R22" s="34"/>
      <c r="S22" s="34"/>
      <c r="T22" s="45"/>
      <c r="U22" s="45"/>
      <c r="V22" s="45"/>
      <c r="W22" s="45"/>
      <c r="X22" s="34"/>
      <c r="Y22" s="45"/>
      <c r="Z22" s="45"/>
      <c r="AA22" s="45"/>
      <c r="AB22" s="40"/>
      <c r="AC22" s="37"/>
      <c r="AD22" s="37"/>
      <c r="AE22" s="40"/>
      <c r="AF22" s="36"/>
    </row>
    <row r="23" spans="1:32" ht="19.5" customHeight="1" x14ac:dyDescent="0.3">
      <c r="AB23" s="21"/>
      <c r="AC23" s="11"/>
      <c r="AD23" s="11"/>
      <c r="AE23" s="21"/>
    </row>
    <row r="24" spans="1:32" ht="19.5" customHeight="1" x14ac:dyDescent="0.3">
      <c r="AB24" s="21"/>
      <c r="AC24" s="11"/>
      <c r="AD24" s="11"/>
      <c r="AE24" s="21"/>
    </row>
    <row r="25" spans="1:32" ht="19.5" customHeight="1" x14ac:dyDescent="0.3">
      <c r="AB25" s="21"/>
      <c r="AC25" s="11"/>
      <c r="AD25" s="11"/>
      <c r="AE25" s="21"/>
    </row>
    <row r="26" spans="1:32" ht="19.5" customHeight="1" x14ac:dyDescent="0.3">
      <c r="AB26" s="21"/>
      <c r="AC26" s="11"/>
      <c r="AD26" s="11"/>
      <c r="AE26" s="21"/>
    </row>
    <row r="27" spans="1:32" ht="19.5" customHeight="1" x14ac:dyDescent="0.3">
      <c r="AB27" s="21"/>
      <c r="AC27" s="11"/>
      <c r="AD27" s="11"/>
      <c r="AE27" s="21"/>
    </row>
    <row r="28" spans="1:32" ht="19.5" customHeight="1" x14ac:dyDescent="0.3">
      <c r="AB28" s="21"/>
      <c r="AC28" s="11"/>
      <c r="AD28" s="11"/>
      <c r="AE28" s="21"/>
    </row>
    <row r="29" spans="1:32" ht="19.5" customHeight="1" x14ac:dyDescent="0.3">
      <c r="AB29" s="21"/>
      <c r="AC29" s="11"/>
      <c r="AD29" s="11"/>
      <c r="AE29" s="21"/>
    </row>
    <row r="30" spans="1:32" ht="19.5" customHeight="1" x14ac:dyDescent="0.3">
      <c r="AB30" s="21"/>
      <c r="AC30" s="11"/>
      <c r="AD30" s="11"/>
      <c r="AE30" s="21"/>
    </row>
    <row r="31" spans="1:32" ht="19.5" customHeight="1" x14ac:dyDescent="0.3">
      <c r="AB31" s="21"/>
      <c r="AC31" s="11"/>
      <c r="AD31" s="11"/>
      <c r="AE31" s="21"/>
    </row>
    <row r="32" spans="1:32" ht="19.5" customHeight="1" x14ac:dyDescent="0.3">
      <c r="AB32" s="21"/>
      <c r="AC32" s="11"/>
      <c r="AD32" s="11"/>
      <c r="AE32" s="21"/>
    </row>
    <row r="33" spans="28:31" ht="19.5" customHeight="1" x14ac:dyDescent="0.3">
      <c r="AB33" s="21"/>
      <c r="AC33" s="11"/>
      <c r="AD33" s="11"/>
      <c r="AE33" s="21"/>
    </row>
    <row r="34" spans="28:31" ht="19.5" customHeight="1" x14ac:dyDescent="0.3">
      <c r="AB34" s="21"/>
      <c r="AC34" s="11"/>
      <c r="AD34" s="11"/>
      <c r="AE34" s="21"/>
    </row>
    <row r="35" spans="28:31" ht="19.5" customHeight="1" x14ac:dyDescent="0.3">
      <c r="AB35" s="21"/>
      <c r="AC35" s="11"/>
      <c r="AD35" s="11"/>
      <c r="AE35" s="21"/>
    </row>
    <row r="36" spans="28:31" ht="19.5" customHeight="1" x14ac:dyDescent="0.3">
      <c r="AB36" s="21"/>
      <c r="AC36" s="11"/>
      <c r="AD36" s="11"/>
      <c r="AE36" s="21"/>
    </row>
    <row r="37" spans="28:31" ht="19.5" customHeight="1" x14ac:dyDescent="0.3">
      <c r="AB37" s="21"/>
      <c r="AC37" s="11"/>
      <c r="AD37" s="11"/>
      <c r="AE37" s="21"/>
    </row>
    <row r="38" spans="28:31" ht="19.5" customHeight="1" x14ac:dyDescent="0.3">
      <c r="AB38" s="21"/>
      <c r="AC38" s="11"/>
      <c r="AD38" s="11"/>
      <c r="AE38" s="21"/>
    </row>
    <row r="39" spans="28:31" ht="19.5" customHeight="1" x14ac:dyDescent="0.3">
      <c r="AB39" s="21"/>
      <c r="AC39" s="11"/>
      <c r="AD39" s="11"/>
      <c r="AE39" s="21"/>
    </row>
    <row r="40" spans="28:31" ht="19.5" customHeight="1" x14ac:dyDescent="0.3">
      <c r="AB40" s="21"/>
      <c r="AC40" s="11"/>
      <c r="AD40" s="11"/>
      <c r="AE40" s="21"/>
    </row>
    <row r="41" spans="28:31" ht="19.5" customHeight="1" x14ac:dyDescent="0.3">
      <c r="AB41" s="21"/>
      <c r="AC41" s="11"/>
      <c r="AD41" s="11"/>
      <c r="AE41" s="21"/>
    </row>
    <row r="42" spans="28:31" ht="19.5" customHeight="1" x14ac:dyDescent="0.3">
      <c r="AB42" s="21"/>
      <c r="AC42" s="11"/>
      <c r="AD42" s="11"/>
      <c r="AE42" s="21"/>
    </row>
    <row r="43" spans="28:31" ht="19.5" customHeight="1" x14ac:dyDescent="0.3">
      <c r="AB43" s="21"/>
      <c r="AC43" s="11"/>
      <c r="AD43" s="11"/>
      <c r="AE43" s="21"/>
    </row>
    <row r="44" spans="28:31" ht="19.5" customHeight="1" x14ac:dyDescent="0.3">
      <c r="AB44" s="21"/>
      <c r="AC44" s="11"/>
      <c r="AD44" s="11"/>
      <c r="AE44" s="21"/>
    </row>
    <row r="45" spans="28:31" ht="19.5" customHeight="1" x14ac:dyDescent="0.3">
      <c r="AB45" s="21"/>
      <c r="AC45" s="11"/>
      <c r="AD45" s="11"/>
      <c r="AE45" s="21"/>
    </row>
    <row r="46" spans="28:31" ht="19.5" customHeight="1" x14ac:dyDescent="0.3">
      <c r="AB46" s="21"/>
      <c r="AC46" s="11"/>
      <c r="AD46" s="11"/>
      <c r="AE46" s="21"/>
    </row>
    <row r="47" spans="28:31" ht="19.5" customHeight="1" x14ac:dyDescent="0.3">
      <c r="AB47" s="21"/>
      <c r="AC47" s="11"/>
      <c r="AD47" s="11"/>
      <c r="AE47" s="21"/>
    </row>
    <row r="48" spans="28:31" ht="19.5" customHeight="1" x14ac:dyDescent="0.3">
      <c r="AB48" s="21"/>
      <c r="AC48" s="11"/>
      <c r="AD48" s="11"/>
      <c r="AE48" s="21"/>
    </row>
    <row r="49" spans="28:31" ht="19.5" customHeight="1" x14ac:dyDescent="0.3">
      <c r="AB49" s="21"/>
      <c r="AC49" s="11"/>
      <c r="AD49" s="11"/>
      <c r="AE49" s="21"/>
    </row>
    <row r="50" spans="28:31" ht="19.5" customHeight="1" x14ac:dyDescent="0.3">
      <c r="AB50" s="21"/>
      <c r="AC50" s="11"/>
      <c r="AD50" s="11"/>
      <c r="AE50" s="21"/>
    </row>
    <row r="51" spans="28:31" ht="19.5" customHeight="1" x14ac:dyDescent="0.3">
      <c r="AB51" s="21"/>
      <c r="AC51" s="11"/>
      <c r="AD51" s="11"/>
      <c r="AE51" s="21"/>
    </row>
    <row r="52" spans="28:31" ht="19.5" customHeight="1" x14ac:dyDescent="0.3">
      <c r="AB52" s="21"/>
      <c r="AC52" s="11"/>
      <c r="AD52" s="11"/>
      <c r="AE52" s="21"/>
    </row>
    <row r="53" spans="28:31" ht="19.5" customHeight="1" x14ac:dyDescent="0.3">
      <c r="AB53" s="21"/>
      <c r="AC53" s="11"/>
      <c r="AD53" s="11"/>
      <c r="AE53" s="21"/>
    </row>
    <row r="54" spans="28:31" ht="19.5" customHeight="1" x14ac:dyDescent="0.3">
      <c r="AB54" s="21"/>
      <c r="AC54" s="11"/>
      <c r="AD54" s="11"/>
      <c r="AE54" s="21"/>
    </row>
    <row r="55" spans="28:31" ht="19.5" customHeight="1" x14ac:dyDescent="0.3">
      <c r="AB55" s="21"/>
      <c r="AC55" s="11"/>
      <c r="AD55" s="11"/>
      <c r="AE55" s="21"/>
    </row>
    <row r="56" spans="28:31" ht="19.5" customHeight="1" x14ac:dyDescent="0.3">
      <c r="AB56" s="21"/>
      <c r="AC56" s="11"/>
      <c r="AD56" s="11"/>
      <c r="AE56" s="21"/>
    </row>
    <row r="57" spans="28:31" ht="19.5" customHeight="1" x14ac:dyDescent="0.3">
      <c r="AB57" s="21"/>
      <c r="AC57" s="11"/>
      <c r="AD57" s="11"/>
      <c r="AE57" s="21"/>
    </row>
    <row r="58" spans="28:31" ht="19.5" customHeight="1" x14ac:dyDescent="0.3">
      <c r="AB58" s="21"/>
      <c r="AC58" s="11"/>
      <c r="AD58" s="11"/>
      <c r="AE58" s="21"/>
    </row>
    <row r="59" spans="28:31" ht="19.5" customHeight="1" x14ac:dyDescent="0.3">
      <c r="AB59" s="21"/>
      <c r="AC59" s="11"/>
      <c r="AD59" s="11"/>
      <c r="AE59" s="21"/>
    </row>
    <row r="60" spans="28:31" ht="19.5" customHeight="1" x14ac:dyDescent="0.3">
      <c r="AB60" s="21"/>
      <c r="AC60" s="11"/>
      <c r="AD60" s="11"/>
      <c r="AE60" s="21"/>
    </row>
    <row r="61" spans="28:31" ht="19.5" customHeight="1" x14ac:dyDescent="0.3">
      <c r="AB61" s="21"/>
      <c r="AC61" s="11"/>
      <c r="AD61" s="11"/>
      <c r="AE61" s="21"/>
    </row>
    <row r="62" spans="28:31" ht="19.5" customHeight="1" x14ac:dyDescent="0.3">
      <c r="AB62" s="21"/>
      <c r="AC62" s="11"/>
      <c r="AD62" s="11"/>
      <c r="AE62" s="21"/>
    </row>
    <row r="63" spans="28:31" ht="19.5" customHeight="1" x14ac:dyDescent="0.3">
      <c r="AB63" s="21"/>
      <c r="AC63" s="11"/>
      <c r="AD63" s="11"/>
      <c r="AE63" s="21"/>
    </row>
    <row r="64" spans="28:31" ht="19.5" customHeight="1" x14ac:dyDescent="0.3">
      <c r="AB64" s="21"/>
      <c r="AC64" s="11"/>
      <c r="AD64" s="11"/>
      <c r="AE64" s="21"/>
    </row>
    <row r="65" spans="28:31" ht="19.5" customHeight="1" x14ac:dyDescent="0.3">
      <c r="AB65" s="21"/>
      <c r="AC65" s="11"/>
      <c r="AD65" s="11"/>
      <c r="AE65" s="21"/>
    </row>
    <row r="66" spans="28:31" ht="19.5" customHeight="1" x14ac:dyDescent="0.3">
      <c r="AB66" s="21"/>
      <c r="AC66" s="11"/>
      <c r="AD66" s="11"/>
      <c r="AE66" s="21"/>
    </row>
    <row r="67" spans="28:31" ht="19.5" customHeight="1" x14ac:dyDescent="0.3">
      <c r="AB67" s="21"/>
      <c r="AC67" s="11"/>
      <c r="AD67" s="11"/>
      <c r="AE67" s="21"/>
    </row>
    <row r="68" spans="28:31" ht="19.5" customHeight="1" x14ac:dyDescent="0.3">
      <c r="AB68" s="21"/>
      <c r="AC68" s="11"/>
      <c r="AD68" s="11"/>
      <c r="AE68" s="21"/>
    </row>
  </sheetData>
  <sheetProtection selectLockedCells="1" selectUnlockedCells="1"/>
  <autoFilter ref="A2:AF2"/>
  <mergeCells count="4">
    <mergeCell ref="A1:P1"/>
    <mergeCell ref="Q1:S1"/>
    <mergeCell ref="U1:X1"/>
    <mergeCell ref="Y1:AE1"/>
  </mergeCells>
  <dataValidations count="9">
    <dataValidation type="list" allowBlank="1" showInputMessage="1" showErrorMessage="1" sqref="O3:O8">
      <formula1>SACCode</formula1>
    </dataValidation>
    <dataValidation type="list" allowBlank="1" showInputMessage="1" showErrorMessage="1" sqref="N3:N8">
      <formula1>HSNCode</formula1>
    </dataValidation>
    <dataValidation type="list" allowBlank="1" showInputMessage="1" showErrorMessage="1" sqref="K3:K13 AC3:AC8 AC13">
      <formula1>UOM</formula1>
    </dataValidation>
    <dataValidation type="list" allowBlank="1" showInputMessage="1" showErrorMessage="1" sqref="P3:P13">
      <formula1>ItemType</formula1>
    </dataValidation>
    <dataValidation type="list" allowBlank="1" showInputMessage="1" showErrorMessage="1" sqref="F3:F1048576">
      <formula1>CATEGORY</formula1>
    </dataValidation>
    <dataValidation type="list" allowBlank="1" showInputMessage="1" showErrorMessage="1" sqref="Q4:Q1048576">
      <formula1>Shapes</formula1>
    </dataValidation>
    <dataValidation type="list" allowBlank="1" showInputMessage="1" showErrorMessage="1" sqref="R3:R1048576">
      <formula1>MaterialType</formula1>
    </dataValidation>
    <dataValidation type="list" allowBlank="1" showInputMessage="1" showErrorMessage="1" sqref="S2:S1048576">
      <formula1>MaterialGrade</formula1>
    </dataValidation>
    <dataValidation type="list" allowBlank="1" showInputMessage="1" showErrorMessage="1" sqref="T2:T1048576">
      <formula1>Density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68"/>
  <sheetViews>
    <sheetView tabSelected="1" zoomScaleNormal="100" workbookViewId="0">
      <selection activeCell="D9" sqref="D9"/>
    </sheetView>
  </sheetViews>
  <sheetFormatPr defaultColWidth="43.88671875" defaultRowHeight="13.8" x14ac:dyDescent="0.3"/>
  <cols>
    <col min="1" max="1" width="8.109375" style="10" bestFit="1" customWidth="1"/>
    <col min="2" max="2" width="13.21875" style="10" bestFit="1" customWidth="1"/>
    <col min="3" max="3" width="14.44140625" style="10" bestFit="1" customWidth="1"/>
    <col min="4" max="5" width="13.21875" style="10" bestFit="1" customWidth="1"/>
    <col min="6" max="6" width="20.109375" style="13" bestFit="1" customWidth="1"/>
    <col min="7" max="7" width="15.5546875" style="10" bestFit="1" customWidth="1"/>
    <col min="8" max="8" width="27" style="10" bestFit="1" customWidth="1"/>
    <col min="9" max="9" width="17.77734375" style="10" bestFit="1" customWidth="1"/>
    <col min="10" max="10" width="8.77734375" style="9" bestFit="1" customWidth="1"/>
    <col min="11" max="11" width="13.33203125" style="10" bestFit="1" customWidth="1"/>
    <col min="12" max="12" width="7.6640625" style="9" bestFit="1" customWidth="1"/>
    <col min="13" max="13" width="6.5546875" style="10" bestFit="1" customWidth="1"/>
    <col min="14" max="15" width="12.109375" style="9" bestFit="1" customWidth="1"/>
    <col min="16" max="16" width="27" style="9" bestFit="1" customWidth="1"/>
    <col min="17" max="17" width="17.88671875" style="10" bestFit="1" customWidth="1"/>
    <col min="18" max="18" width="12.109375" style="10" bestFit="1" customWidth="1"/>
    <col min="19" max="19" width="13.21875" style="10" bestFit="1" customWidth="1"/>
    <col min="20" max="20" width="13.21875" style="9" bestFit="1" customWidth="1"/>
    <col min="21" max="21" width="11.5546875" style="9" bestFit="1" customWidth="1"/>
    <col min="22" max="22" width="10.33203125" style="9" bestFit="1" customWidth="1"/>
    <col min="23" max="23" width="22.77734375" style="9" bestFit="1" customWidth="1"/>
    <col min="24" max="24" width="14.5546875" style="10" bestFit="1" customWidth="1"/>
    <col min="25" max="25" width="14.6640625" style="9" bestFit="1" customWidth="1"/>
    <col min="26" max="26" width="13.44140625" style="9" bestFit="1" customWidth="1"/>
    <col min="27" max="27" width="26" style="9" bestFit="1" customWidth="1"/>
    <col min="28" max="28" width="17.77734375" style="10" bestFit="1" customWidth="1"/>
    <col min="29" max="29" width="15.5546875" style="9" bestFit="1" customWidth="1"/>
    <col min="30" max="30" width="9.109375" style="9" bestFit="1" customWidth="1"/>
    <col min="31" max="31" width="9.109375" style="10" bestFit="1" customWidth="1"/>
    <col min="32" max="32" width="15.21875" style="26" customWidth="1"/>
    <col min="33" max="16384" width="43.88671875" style="10"/>
  </cols>
  <sheetData>
    <row r="1" spans="1:32" ht="19.5" customHeight="1" x14ac:dyDescent="0.3">
      <c r="A1" s="68" t="s">
        <v>130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70" t="s">
        <v>132</v>
      </c>
      <c r="R1" s="71"/>
      <c r="S1" s="71"/>
      <c r="T1" s="67" t="s">
        <v>187</v>
      </c>
      <c r="U1" s="69" t="s">
        <v>117</v>
      </c>
      <c r="V1" s="69"/>
      <c r="W1" s="69"/>
      <c r="X1" s="69"/>
      <c r="Y1" s="69" t="s">
        <v>118</v>
      </c>
      <c r="Z1" s="69"/>
      <c r="AA1" s="69"/>
      <c r="AB1" s="69"/>
      <c r="AC1" s="69"/>
      <c r="AD1" s="69"/>
      <c r="AE1" s="69"/>
      <c r="AF1" s="60"/>
    </row>
    <row r="2" spans="1:32" s="24" customFormat="1" ht="19.95" customHeight="1" x14ac:dyDescent="0.3">
      <c r="A2" s="14" t="s">
        <v>104</v>
      </c>
      <c r="B2" s="52" t="s">
        <v>105</v>
      </c>
      <c r="C2" s="52" t="s">
        <v>106</v>
      </c>
      <c r="D2" s="52" t="s">
        <v>107</v>
      </c>
      <c r="E2" s="52" t="s">
        <v>108</v>
      </c>
      <c r="F2" s="51" t="s">
        <v>84</v>
      </c>
      <c r="G2" s="22" t="s">
        <v>109</v>
      </c>
      <c r="H2" s="22" t="s">
        <v>110</v>
      </c>
      <c r="I2" s="20" t="s">
        <v>116</v>
      </c>
      <c r="J2" s="8" t="s">
        <v>115</v>
      </c>
      <c r="K2" s="52" t="s">
        <v>83</v>
      </c>
      <c r="L2" s="8" t="s">
        <v>111</v>
      </c>
      <c r="M2" s="20" t="s">
        <v>112</v>
      </c>
      <c r="N2" s="53" t="s">
        <v>99</v>
      </c>
      <c r="O2" s="53" t="s">
        <v>100</v>
      </c>
      <c r="P2" s="53" t="s">
        <v>131</v>
      </c>
      <c r="Q2" s="54" t="s">
        <v>119</v>
      </c>
      <c r="R2" s="54" t="s">
        <v>120</v>
      </c>
      <c r="S2" s="54" t="s">
        <v>122</v>
      </c>
      <c r="T2" s="54" t="s">
        <v>121</v>
      </c>
      <c r="U2" s="7" t="s">
        <v>166</v>
      </c>
      <c r="V2" s="7" t="s">
        <v>167</v>
      </c>
      <c r="W2" s="7" t="s">
        <v>168</v>
      </c>
      <c r="X2" s="14" t="s">
        <v>169</v>
      </c>
      <c r="Y2" s="7" t="s">
        <v>170</v>
      </c>
      <c r="Z2" s="7" t="s">
        <v>171</v>
      </c>
      <c r="AA2" s="7" t="s">
        <v>172</v>
      </c>
      <c r="AB2" s="14" t="s">
        <v>173</v>
      </c>
      <c r="AC2" s="54" t="s">
        <v>137</v>
      </c>
      <c r="AD2" s="7" t="s">
        <v>136</v>
      </c>
      <c r="AE2" s="56" t="s">
        <v>139</v>
      </c>
      <c r="AF2" s="58" t="s">
        <v>156</v>
      </c>
    </row>
    <row r="3" spans="1:32" ht="19.5" customHeight="1" x14ac:dyDescent="0.3">
      <c r="A3" s="27"/>
      <c r="B3" s="28"/>
      <c r="C3" s="28"/>
      <c r="D3" s="28"/>
      <c r="E3" s="29"/>
      <c r="F3" s="30"/>
      <c r="G3" s="29"/>
      <c r="H3" s="31"/>
      <c r="I3" s="31"/>
      <c r="J3" s="27"/>
      <c r="K3" s="29"/>
      <c r="L3" s="32"/>
      <c r="M3" s="29"/>
      <c r="N3" s="27"/>
      <c r="O3" s="27"/>
      <c r="P3" s="32"/>
      <c r="Q3" s="29"/>
      <c r="R3" s="29"/>
      <c r="S3" s="29"/>
      <c r="T3" s="32"/>
      <c r="U3" s="61"/>
      <c r="V3" s="61"/>
      <c r="W3" s="61"/>
      <c r="X3" s="28"/>
      <c r="Y3" s="57"/>
      <c r="Z3" s="57"/>
      <c r="AA3" s="57"/>
      <c r="AB3" s="23"/>
      <c r="AC3" s="55"/>
      <c r="AD3" s="57"/>
      <c r="AE3" s="23"/>
      <c r="AF3" s="59"/>
    </row>
    <row r="4" spans="1:32" s="72" customFormat="1" ht="19.5" customHeight="1" x14ac:dyDescent="0.3">
      <c r="A4" s="33"/>
      <c r="C4" s="35"/>
      <c r="D4" s="35"/>
      <c r="E4" s="35"/>
      <c r="F4" s="35"/>
      <c r="G4" s="35"/>
      <c r="H4" s="35"/>
      <c r="I4" s="35"/>
      <c r="J4" s="42"/>
      <c r="K4" s="35"/>
      <c r="L4" s="42"/>
      <c r="M4" s="35"/>
      <c r="N4" s="42"/>
      <c r="O4" s="42"/>
      <c r="P4" s="42"/>
      <c r="Q4" s="35"/>
      <c r="R4" s="35"/>
      <c r="S4" s="35"/>
      <c r="T4" s="42"/>
      <c r="U4" s="33"/>
      <c r="V4" s="33"/>
      <c r="W4" s="33"/>
      <c r="X4" s="33"/>
      <c r="Y4" s="33"/>
      <c r="Z4" s="33"/>
      <c r="AA4" s="33"/>
      <c r="AB4" s="33"/>
      <c r="AC4" s="42"/>
      <c r="AD4" s="33"/>
      <c r="AE4" s="73"/>
      <c r="AF4" s="33"/>
    </row>
    <row r="5" spans="1:32" s="64" customFormat="1" ht="19.5" customHeight="1" x14ac:dyDescent="0.3">
      <c r="A5" s="33"/>
      <c r="B5" s="35"/>
      <c r="C5" s="35"/>
      <c r="D5" s="35"/>
      <c r="E5" s="35"/>
      <c r="F5" s="41"/>
      <c r="G5" s="41"/>
      <c r="H5" s="35"/>
      <c r="I5" s="35"/>
      <c r="J5" s="42"/>
      <c r="K5" s="35"/>
      <c r="L5" s="42"/>
      <c r="M5" s="35"/>
      <c r="N5" s="42"/>
      <c r="O5" s="42"/>
      <c r="P5" s="42"/>
      <c r="Q5" s="35"/>
      <c r="R5" s="35"/>
      <c r="S5" s="35"/>
      <c r="T5" s="42"/>
      <c r="U5" s="33"/>
      <c r="V5" s="33"/>
      <c r="W5" s="33"/>
      <c r="X5" s="33"/>
      <c r="Y5" s="36"/>
      <c r="Z5" s="36"/>
      <c r="AA5" s="36"/>
      <c r="AB5" s="36"/>
      <c r="AC5" s="37"/>
      <c r="AD5" s="33"/>
      <c r="AE5" s="38"/>
      <c r="AF5" s="36"/>
    </row>
    <row r="6" spans="1:32" s="64" customFormat="1" ht="19.5" customHeight="1" x14ac:dyDescent="0.3">
      <c r="A6" s="33"/>
      <c r="B6" s="35"/>
      <c r="C6" s="35"/>
      <c r="D6" s="35"/>
      <c r="E6" s="35"/>
      <c r="F6" s="41"/>
      <c r="G6" s="41"/>
      <c r="H6" s="35"/>
      <c r="I6" s="35"/>
      <c r="J6" s="42"/>
      <c r="K6" s="35"/>
      <c r="L6" s="42"/>
      <c r="M6" s="35"/>
      <c r="N6" s="42"/>
      <c r="O6" s="42"/>
      <c r="P6" s="42"/>
      <c r="Q6" s="35"/>
      <c r="R6" s="35"/>
      <c r="S6" s="35"/>
      <c r="T6" s="42"/>
      <c r="U6" s="33"/>
      <c r="V6" s="33"/>
      <c r="W6" s="33"/>
      <c r="X6" s="33"/>
      <c r="Y6" s="36"/>
      <c r="Z6" s="36"/>
      <c r="AA6" s="36"/>
      <c r="AB6" s="36"/>
      <c r="AC6" s="37"/>
      <c r="AD6" s="33"/>
      <c r="AE6" s="38"/>
      <c r="AF6" s="36"/>
    </row>
    <row r="7" spans="1:32" s="64" customFormat="1" ht="19.5" customHeight="1" x14ac:dyDescent="0.3">
      <c r="A7" s="33"/>
      <c r="B7" s="35"/>
      <c r="C7" s="35"/>
      <c r="D7" s="35"/>
      <c r="E7" s="35"/>
      <c r="F7" s="41"/>
      <c r="G7" s="41"/>
      <c r="H7" s="35"/>
      <c r="I7" s="35"/>
      <c r="J7" s="42"/>
      <c r="K7" s="35"/>
      <c r="L7" s="42"/>
      <c r="M7" s="35"/>
      <c r="N7" s="42"/>
      <c r="O7" s="42"/>
      <c r="P7" s="42"/>
      <c r="Q7" s="35"/>
      <c r="R7" s="35"/>
      <c r="S7" s="35"/>
      <c r="T7" s="42"/>
      <c r="U7" s="33"/>
      <c r="V7" s="33"/>
      <c r="W7" s="33"/>
      <c r="X7" s="33"/>
      <c r="Y7" s="36"/>
      <c r="Z7" s="36"/>
      <c r="AA7" s="36"/>
      <c r="AB7" s="36"/>
      <c r="AC7" s="37"/>
      <c r="AD7" s="33"/>
      <c r="AE7" s="38"/>
      <c r="AF7" s="36"/>
    </row>
    <row r="8" spans="1:32" s="64" customFormat="1" ht="19.5" customHeight="1" x14ac:dyDescent="0.3">
      <c r="A8" s="33"/>
      <c r="B8" s="35"/>
      <c r="C8" s="35"/>
      <c r="D8" s="35"/>
      <c r="E8" s="35"/>
      <c r="F8" s="41"/>
      <c r="G8" s="41"/>
      <c r="H8" s="35"/>
      <c r="I8" s="35"/>
      <c r="J8" s="42"/>
      <c r="K8" s="35"/>
      <c r="L8" s="42"/>
      <c r="M8" s="35"/>
      <c r="N8" s="42"/>
      <c r="O8" s="42"/>
      <c r="P8" s="42"/>
      <c r="Q8" s="35"/>
      <c r="R8" s="35"/>
      <c r="S8" s="35"/>
      <c r="T8" s="42"/>
      <c r="U8" s="33"/>
      <c r="V8" s="33"/>
      <c r="W8" s="33"/>
      <c r="X8" s="33"/>
      <c r="Y8" s="36"/>
      <c r="Z8" s="36"/>
      <c r="AA8" s="36"/>
      <c r="AB8" s="36"/>
      <c r="AC8" s="37"/>
      <c r="AD8" s="33"/>
      <c r="AE8" s="38"/>
      <c r="AF8" s="36"/>
    </row>
    <row r="9" spans="1:32" s="72" customFormat="1" ht="19.5" customHeight="1" x14ac:dyDescent="0.3">
      <c r="A9" s="33"/>
      <c r="F9" s="74"/>
      <c r="I9" s="35"/>
      <c r="J9" s="33"/>
      <c r="K9" s="35"/>
      <c r="L9" s="33"/>
      <c r="N9" s="33"/>
      <c r="O9" s="33"/>
      <c r="P9" s="42"/>
      <c r="T9" s="33"/>
      <c r="U9" s="33"/>
      <c r="V9" s="33"/>
      <c r="W9" s="33"/>
      <c r="Y9" s="33"/>
      <c r="Z9" s="33"/>
      <c r="AA9" s="33"/>
      <c r="AB9" s="75"/>
      <c r="AC9" s="42"/>
      <c r="AD9" s="42"/>
      <c r="AE9" s="75"/>
      <c r="AF9" s="33"/>
    </row>
    <row r="10" spans="1:32" s="64" customFormat="1" ht="19.5" customHeight="1" x14ac:dyDescent="0.3">
      <c r="A10" s="33"/>
      <c r="F10" s="65"/>
      <c r="G10" s="41"/>
      <c r="I10" s="35"/>
      <c r="J10" s="36"/>
      <c r="K10" s="35"/>
      <c r="L10" s="36"/>
      <c r="N10" s="36"/>
      <c r="O10" s="36"/>
      <c r="P10" s="42"/>
      <c r="T10" s="36"/>
      <c r="U10" s="36"/>
      <c r="V10" s="36"/>
      <c r="W10" s="36"/>
      <c r="Y10" s="36"/>
      <c r="Z10" s="36"/>
      <c r="AA10" s="36"/>
      <c r="AB10" s="40"/>
      <c r="AC10" s="37"/>
      <c r="AD10" s="37"/>
      <c r="AE10" s="40"/>
      <c r="AF10" s="36"/>
    </row>
    <row r="11" spans="1:32" s="64" customFormat="1" ht="19.5" customHeight="1" x14ac:dyDescent="0.3">
      <c r="A11" s="33"/>
      <c r="F11" s="65"/>
      <c r="G11" s="41"/>
      <c r="I11" s="35"/>
      <c r="J11" s="36"/>
      <c r="K11" s="35"/>
      <c r="L11" s="36"/>
      <c r="N11" s="36"/>
      <c r="O11" s="36"/>
      <c r="P11" s="42"/>
      <c r="T11" s="36"/>
      <c r="U11" s="36"/>
      <c r="V11" s="36"/>
      <c r="W11" s="36"/>
      <c r="Y11" s="36"/>
      <c r="Z11" s="36"/>
      <c r="AA11" s="36"/>
      <c r="AB11" s="40"/>
      <c r="AC11" s="37"/>
      <c r="AD11" s="37"/>
      <c r="AE11" s="40"/>
      <c r="AF11" s="36"/>
    </row>
    <row r="12" spans="1:32" s="64" customFormat="1" ht="19.5" customHeight="1" x14ac:dyDescent="0.3">
      <c r="A12" s="33"/>
      <c r="F12" s="65"/>
      <c r="G12" s="41"/>
      <c r="I12" s="35"/>
      <c r="J12" s="36"/>
      <c r="K12" s="35"/>
      <c r="L12" s="36"/>
      <c r="N12" s="36"/>
      <c r="O12" s="36"/>
      <c r="P12" s="42"/>
      <c r="T12" s="36"/>
      <c r="U12" s="36"/>
      <c r="V12" s="36"/>
      <c r="W12" s="36"/>
      <c r="Y12" s="36"/>
      <c r="Z12" s="36"/>
      <c r="AA12" s="36"/>
      <c r="AB12" s="40"/>
      <c r="AC12" s="37"/>
      <c r="AD12" s="37"/>
      <c r="AE12" s="40"/>
      <c r="AF12" s="36"/>
    </row>
    <row r="13" spans="1:32" s="64" customFormat="1" ht="19.5" customHeight="1" x14ac:dyDescent="0.3">
      <c r="A13" s="33"/>
      <c r="F13" s="65"/>
      <c r="G13" s="41"/>
      <c r="I13" s="35"/>
      <c r="J13" s="36"/>
      <c r="K13" s="35"/>
      <c r="L13" s="36"/>
      <c r="N13" s="36"/>
      <c r="O13" s="36"/>
      <c r="P13" s="42"/>
      <c r="T13" s="36"/>
      <c r="U13" s="36"/>
      <c r="V13" s="36"/>
      <c r="W13" s="36"/>
      <c r="Y13" s="36"/>
      <c r="Z13" s="36"/>
      <c r="AA13" s="36"/>
      <c r="AB13" s="40"/>
      <c r="AC13" s="37"/>
      <c r="AD13" s="37"/>
      <c r="AE13" s="38"/>
      <c r="AF13" s="36"/>
    </row>
    <row r="14" spans="1:32" s="34" customFormat="1" ht="19.5" customHeight="1" x14ac:dyDescent="0.3">
      <c r="F14" s="39"/>
      <c r="J14" s="45"/>
      <c r="L14" s="45"/>
      <c r="N14" s="45"/>
      <c r="O14" s="45"/>
      <c r="P14" s="45"/>
      <c r="T14" s="45"/>
      <c r="U14" s="45"/>
      <c r="V14" s="45"/>
      <c r="W14" s="45"/>
      <c r="Y14" s="45"/>
      <c r="Z14" s="45"/>
      <c r="AA14" s="45"/>
      <c r="AB14" s="40"/>
      <c r="AC14" s="37"/>
      <c r="AD14" s="37"/>
      <c r="AE14" s="40"/>
      <c r="AF14" s="36"/>
    </row>
    <row r="15" spans="1:32" s="34" customFormat="1" ht="19.5" customHeight="1" x14ac:dyDescent="0.3">
      <c r="F15" s="39"/>
      <c r="J15" s="45"/>
      <c r="L15" s="45"/>
      <c r="N15" s="45"/>
      <c r="O15" s="45"/>
      <c r="P15" s="45"/>
      <c r="T15" s="45"/>
      <c r="U15" s="45"/>
      <c r="V15" s="45"/>
      <c r="W15" s="45"/>
      <c r="Y15" s="45"/>
      <c r="Z15" s="45"/>
      <c r="AA15" s="45"/>
      <c r="AB15" s="40"/>
      <c r="AC15" s="37"/>
      <c r="AD15" s="37"/>
      <c r="AE15" s="40"/>
      <c r="AF15" s="36"/>
    </row>
    <row r="16" spans="1:32" s="34" customFormat="1" ht="19.5" customHeight="1" x14ac:dyDescent="0.3">
      <c r="F16" s="39"/>
      <c r="J16" s="45"/>
      <c r="L16" s="45"/>
      <c r="N16" s="45"/>
      <c r="O16" s="45"/>
      <c r="P16" s="45"/>
      <c r="T16" s="45"/>
      <c r="U16" s="45"/>
      <c r="V16" s="45"/>
      <c r="W16" s="45"/>
      <c r="Y16" s="45"/>
      <c r="Z16" s="45"/>
      <c r="AA16" s="45"/>
      <c r="AB16" s="40"/>
      <c r="AC16" s="37"/>
      <c r="AD16" s="37"/>
      <c r="AE16" s="40"/>
      <c r="AF16" s="36"/>
    </row>
    <row r="17" spans="1:32" ht="19.5" customHeight="1" x14ac:dyDescent="0.3">
      <c r="A17" s="34"/>
      <c r="B17" s="34"/>
      <c r="C17" s="34"/>
      <c r="D17" s="34"/>
      <c r="E17" s="34"/>
      <c r="F17" s="39"/>
      <c r="G17" s="34"/>
      <c r="H17" s="34"/>
      <c r="I17" s="34"/>
      <c r="J17" s="45"/>
      <c r="K17" s="34"/>
      <c r="L17" s="45"/>
      <c r="M17" s="34"/>
      <c r="N17" s="45"/>
      <c r="O17" s="45"/>
      <c r="P17" s="45"/>
      <c r="Q17" s="34"/>
      <c r="R17" s="34"/>
      <c r="S17" s="34"/>
      <c r="T17" s="45"/>
      <c r="U17" s="45"/>
      <c r="V17" s="45"/>
      <c r="W17" s="45"/>
      <c r="X17" s="34"/>
      <c r="Y17" s="45"/>
      <c r="Z17" s="45"/>
      <c r="AA17" s="45"/>
      <c r="AB17" s="40"/>
      <c r="AC17" s="37"/>
      <c r="AD17" s="37"/>
      <c r="AE17" s="40"/>
      <c r="AF17" s="36"/>
    </row>
    <row r="18" spans="1:32" ht="19.5" customHeight="1" x14ac:dyDescent="0.3">
      <c r="A18" s="34"/>
      <c r="B18" s="34"/>
      <c r="C18" s="34"/>
      <c r="D18" s="34"/>
      <c r="E18" s="34"/>
      <c r="F18" s="39"/>
      <c r="G18" s="34"/>
      <c r="H18" s="34"/>
      <c r="I18" s="34"/>
      <c r="J18" s="45"/>
      <c r="K18" s="34"/>
      <c r="L18" s="45"/>
      <c r="M18" s="34"/>
      <c r="N18" s="45"/>
      <c r="O18" s="45"/>
      <c r="P18" s="45"/>
      <c r="Q18" s="34"/>
      <c r="R18" s="34"/>
      <c r="S18" s="34"/>
      <c r="T18" s="45"/>
      <c r="U18" s="45"/>
      <c r="V18" s="45"/>
      <c r="W18" s="45"/>
      <c r="X18" s="34"/>
      <c r="Y18" s="45"/>
      <c r="Z18" s="45"/>
      <c r="AA18" s="45"/>
      <c r="AB18" s="40"/>
      <c r="AC18" s="37"/>
      <c r="AD18" s="37"/>
      <c r="AE18" s="40"/>
      <c r="AF18" s="36"/>
    </row>
    <row r="19" spans="1:32" ht="19.5" customHeight="1" x14ac:dyDescent="0.3">
      <c r="A19" s="34"/>
      <c r="B19" s="34"/>
      <c r="C19" s="34"/>
      <c r="D19" s="34"/>
      <c r="E19" s="34"/>
      <c r="F19" s="39"/>
      <c r="G19" s="34"/>
      <c r="H19" s="34"/>
      <c r="I19" s="34"/>
      <c r="J19" s="45"/>
      <c r="K19" s="34"/>
      <c r="L19" s="45"/>
      <c r="M19" s="34"/>
      <c r="N19" s="45"/>
      <c r="O19" s="45"/>
      <c r="P19" s="45"/>
      <c r="Q19" s="34"/>
      <c r="R19" s="34"/>
      <c r="S19" s="34"/>
      <c r="T19" s="45"/>
      <c r="U19" s="45"/>
      <c r="V19" s="45"/>
      <c r="W19" s="45"/>
      <c r="X19" s="34"/>
      <c r="Y19" s="45"/>
      <c r="Z19" s="45"/>
      <c r="AA19" s="45"/>
      <c r="AB19" s="40"/>
      <c r="AC19" s="37"/>
      <c r="AD19" s="37"/>
      <c r="AE19" s="40"/>
      <c r="AF19" s="36"/>
    </row>
    <row r="20" spans="1:32" ht="19.5" customHeight="1" x14ac:dyDescent="0.3">
      <c r="A20" s="34"/>
      <c r="B20" s="34"/>
      <c r="C20" s="34"/>
      <c r="D20" s="34"/>
      <c r="E20" s="34"/>
      <c r="F20" s="39"/>
      <c r="G20" s="34"/>
      <c r="H20" s="34"/>
      <c r="I20" s="34"/>
      <c r="J20" s="45"/>
      <c r="K20" s="34"/>
      <c r="L20" s="45"/>
      <c r="M20" s="34"/>
      <c r="N20" s="45"/>
      <c r="O20" s="45"/>
      <c r="P20" s="45"/>
      <c r="Q20" s="34"/>
      <c r="R20" s="34"/>
      <c r="S20" s="34"/>
      <c r="T20" s="45"/>
      <c r="U20" s="45"/>
      <c r="V20" s="45"/>
      <c r="W20" s="45"/>
      <c r="X20" s="34"/>
      <c r="Y20" s="45"/>
      <c r="Z20" s="45"/>
      <c r="AA20" s="45"/>
      <c r="AB20" s="40"/>
      <c r="AC20" s="37"/>
      <c r="AD20" s="37"/>
      <c r="AE20" s="40"/>
      <c r="AF20" s="36"/>
    </row>
    <row r="21" spans="1:32" ht="19.5" customHeight="1" x14ac:dyDescent="0.3">
      <c r="A21" s="34"/>
      <c r="B21" s="34"/>
      <c r="C21" s="34"/>
      <c r="D21" s="34"/>
      <c r="E21" s="34"/>
      <c r="F21" s="39"/>
      <c r="G21" s="34"/>
      <c r="H21" s="34"/>
      <c r="I21" s="34"/>
      <c r="J21" s="45"/>
      <c r="K21" s="34"/>
      <c r="L21" s="45"/>
      <c r="M21" s="34"/>
      <c r="N21" s="45"/>
      <c r="O21" s="45"/>
      <c r="P21" s="45"/>
      <c r="Q21" s="34"/>
      <c r="R21" s="34"/>
      <c r="S21" s="34"/>
      <c r="T21" s="45"/>
      <c r="U21" s="45"/>
      <c r="V21" s="45"/>
      <c r="W21" s="45"/>
      <c r="X21" s="34"/>
      <c r="Y21" s="45"/>
      <c r="Z21" s="45"/>
      <c r="AA21" s="45"/>
      <c r="AB21" s="40"/>
      <c r="AC21" s="37"/>
      <c r="AD21" s="37"/>
      <c r="AE21" s="40"/>
      <c r="AF21" s="36"/>
    </row>
    <row r="22" spans="1:32" ht="19.5" customHeight="1" x14ac:dyDescent="0.3">
      <c r="A22" s="34"/>
      <c r="B22" s="34"/>
      <c r="C22" s="34"/>
      <c r="D22" s="34"/>
      <c r="E22" s="34"/>
      <c r="F22" s="39"/>
      <c r="G22" s="34"/>
      <c r="H22" s="34"/>
      <c r="I22" s="34"/>
      <c r="J22" s="45"/>
      <c r="K22" s="34"/>
      <c r="L22" s="45"/>
      <c r="M22" s="34"/>
      <c r="N22" s="45"/>
      <c r="O22" s="45"/>
      <c r="P22" s="45"/>
      <c r="Q22" s="34"/>
      <c r="R22" s="34"/>
      <c r="S22" s="34"/>
      <c r="T22" s="45"/>
      <c r="U22" s="45"/>
      <c r="V22" s="45"/>
      <c r="W22" s="45"/>
      <c r="X22" s="34"/>
      <c r="Y22" s="45"/>
      <c r="Z22" s="45"/>
      <c r="AA22" s="45"/>
      <c r="AB22" s="40"/>
      <c r="AC22" s="37"/>
      <c r="AD22" s="37"/>
      <c r="AE22" s="40"/>
      <c r="AF22" s="36"/>
    </row>
    <row r="23" spans="1:32" ht="19.5" customHeight="1" x14ac:dyDescent="0.3">
      <c r="AB23" s="21"/>
      <c r="AC23" s="11"/>
      <c r="AD23" s="11"/>
      <c r="AE23" s="21"/>
    </row>
    <row r="24" spans="1:32" ht="19.5" customHeight="1" x14ac:dyDescent="0.3">
      <c r="AB24" s="21"/>
      <c r="AC24" s="11"/>
      <c r="AD24" s="11"/>
      <c r="AE24" s="21"/>
    </row>
    <row r="25" spans="1:32" ht="19.5" customHeight="1" x14ac:dyDescent="0.3">
      <c r="AB25" s="21"/>
      <c r="AC25" s="11"/>
      <c r="AD25" s="11"/>
      <c r="AE25" s="21"/>
    </row>
    <row r="26" spans="1:32" ht="19.5" customHeight="1" x14ac:dyDescent="0.3">
      <c r="AB26" s="21"/>
      <c r="AC26" s="11"/>
      <c r="AD26" s="11"/>
      <c r="AE26" s="21"/>
    </row>
    <row r="27" spans="1:32" ht="19.5" customHeight="1" x14ac:dyDescent="0.3">
      <c r="AB27" s="21"/>
      <c r="AC27" s="11"/>
      <c r="AD27" s="11"/>
      <c r="AE27" s="21"/>
    </row>
    <row r="28" spans="1:32" ht="19.5" customHeight="1" x14ac:dyDescent="0.3">
      <c r="AB28" s="21"/>
      <c r="AC28" s="11"/>
      <c r="AD28" s="11"/>
      <c r="AE28" s="21"/>
    </row>
    <row r="29" spans="1:32" ht="19.5" customHeight="1" x14ac:dyDescent="0.3">
      <c r="AB29" s="21"/>
      <c r="AC29" s="11"/>
      <c r="AD29" s="11"/>
      <c r="AE29" s="21"/>
    </row>
    <row r="30" spans="1:32" ht="19.5" customHeight="1" x14ac:dyDescent="0.3">
      <c r="AB30" s="21"/>
      <c r="AC30" s="11"/>
      <c r="AD30" s="11"/>
      <c r="AE30" s="21"/>
    </row>
    <row r="31" spans="1:32" ht="19.5" customHeight="1" x14ac:dyDescent="0.3">
      <c r="AB31" s="21"/>
      <c r="AC31" s="11"/>
      <c r="AD31" s="11"/>
      <c r="AE31" s="21"/>
    </row>
    <row r="32" spans="1:32" ht="19.5" customHeight="1" x14ac:dyDescent="0.3">
      <c r="AB32" s="21"/>
      <c r="AC32" s="11"/>
      <c r="AD32" s="11"/>
      <c r="AE32" s="21"/>
    </row>
    <row r="33" spans="28:31" ht="19.5" customHeight="1" x14ac:dyDescent="0.3">
      <c r="AB33" s="21"/>
      <c r="AC33" s="11"/>
      <c r="AD33" s="11"/>
      <c r="AE33" s="21"/>
    </row>
    <row r="34" spans="28:31" ht="19.5" customHeight="1" x14ac:dyDescent="0.3">
      <c r="AB34" s="21"/>
      <c r="AC34" s="11"/>
      <c r="AD34" s="11"/>
      <c r="AE34" s="21"/>
    </row>
    <row r="35" spans="28:31" ht="19.5" customHeight="1" x14ac:dyDescent="0.3">
      <c r="AB35" s="21"/>
      <c r="AC35" s="11"/>
      <c r="AD35" s="11"/>
      <c r="AE35" s="21"/>
    </row>
    <row r="36" spans="28:31" ht="19.5" customHeight="1" x14ac:dyDescent="0.3">
      <c r="AB36" s="21"/>
      <c r="AC36" s="11"/>
      <c r="AD36" s="11"/>
      <c r="AE36" s="21"/>
    </row>
    <row r="37" spans="28:31" ht="19.5" customHeight="1" x14ac:dyDescent="0.3">
      <c r="AB37" s="21"/>
      <c r="AC37" s="11"/>
      <c r="AD37" s="11"/>
      <c r="AE37" s="21"/>
    </row>
    <row r="38" spans="28:31" ht="19.5" customHeight="1" x14ac:dyDescent="0.3">
      <c r="AB38" s="21"/>
      <c r="AC38" s="11"/>
      <c r="AD38" s="11"/>
      <c r="AE38" s="21"/>
    </row>
    <row r="39" spans="28:31" ht="19.5" customHeight="1" x14ac:dyDescent="0.3">
      <c r="AB39" s="21"/>
      <c r="AC39" s="11"/>
      <c r="AD39" s="11"/>
      <c r="AE39" s="21"/>
    </row>
    <row r="40" spans="28:31" ht="19.5" customHeight="1" x14ac:dyDescent="0.3">
      <c r="AB40" s="21"/>
      <c r="AC40" s="11"/>
      <c r="AD40" s="11"/>
      <c r="AE40" s="21"/>
    </row>
    <row r="41" spans="28:31" ht="19.5" customHeight="1" x14ac:dyDescent="0.3">
      <c r="AB41" s="21"/>
      <c r="AC41" s="11"/>
      <c r="AD41" s="11"/>
      <c r="AE41" s="21"/>
    </row>
    <row r="42" spans="28:31" ht="19.5" customHeight="1" x14ac:dyDescent="0.3">
      <c r="AB42" s="21"/>
      <c r="AC42" s="11"/>
      <c r="AD42" s="11"/>
      <c r="AE42" s="21"/>
    </row>
    <row r="43" spans="28:31" ht="19.5" customHeight="1" x14ac:dyDescent="0.3">
      <c r="AB43" s="21"/>
      <c r="AC43" s="11"/>
      <c r="AD43" s="11"/>
      <c r="AE43" s="21"/>
    </row>
    <row r="44" spans="28:31" ht="19.5" customHeight="1" x14ac:dyDescent="0.3">
      <c r="AB44" s="21"/>
      <c r="AC44" s="11"/>
      <c r="AD44" s="11"/>
      <c r="AE44" s="21"/>
    </row>
    <row r="45" spans="28:31" ht="19.5" customHeight="1" x14ac:dyDescent="0.3">
      <c r="AB45" s="21"/>
      <c r="AC45" s="11"/>
      <c r="AD45" s="11"/>
      <c r="AE45" s="21"/>
    </row>
    <row r="46" spans="28:31" ht="19.5" customHeight="1" x14ac:dyDescent="0.3">
      <c r="AB46" s="21"/>
      <c r="AC46" s="11"/>
      <c r="AD46" s="11"/>
      <c r="AE46" s="21"/>
    </row>
    <row r="47" spans="28:31" ht="19.5" customHeight="1" x14ac:dyDescent="0.3">
      <c r="AB47" s="21"/>
      <c r="AC47" s="11"/>
      <c r="AD47" s="11"/>
      <c r="AE47" s="21"/>
    </row>
    <row r="48" spans="28:31" ht="19.5" customHeight="1" x14ac:dyDescent="0.3">
      <c r="AB48" s="21"/>
      <c r="AC48" s="11"/>
      <c r="AD48" s="11"/>
      <c r="AE48" s="21"/>
    </row>
    <row r="49" spans="28:31" ht="19.5" customHeight="1" x14ac:dyDescent="0.3">
      <c r="AB49" s="21"/>
      <c r="AC49" s="11"/>
      <c r="AD49" s="11"/>
      <c r="AE49" s="21"/>
    </row>
    <row r="50" spans="28:31" ht="19.5" customHeight="1" x14ac:dyDescent="0.3">
      <c r="AB50" s="21"/>
      <c r="AC50" s="11"/>
      <c r="AD50" s="11"/>
      <c r="AE50" s="21"/>
    </row>
    <row r="51" spans="28:31" ht="19.5" customHeight="1" x14ac:dyDescent="0.3">
      <c r="AB51" s="21"/>
      <c r="AC51" s="11"/>
      <c r="AD51" s="11"/>
      <c r="AE51" s="21"/>
    </row>
    <row r="52" spans="28:31" ht="19.5" customHeight="1" x14ac:dyDescent="0.3">
      <c r="AB52" s="21"/>
      <c r="AC52" s="11"/>
      <c r="AD52" s="11"/>
      <c r="AE52" s="21"/>
    </row>
    <row r="53" spans="28:31" ht="19.5" customHeight="1" x14ac:dyDescent="0.3">
      <c r="AB53" s="21"/>
      <c r="AC53" s="11"/>
      <c r="AD53" s="11"/>
      <c r="AE53" s="21"/>
    </row>
    <row r="54" spans="28:31" ht="19.5" customHeight="1" x14ac:dyDescent="0.3">
      <c r="AB54" s="21"/>
      <c r="AC54" s="11"/>
      <c r="AD54" s="11"/>
      <c r="AE54" s="21"/>
    </row>
    <row r="55" spans="28:31" ht="19.5" customHeight="1" x14ac:dyDescent="0.3">
      <c r="AB55" s="21"/>
      <c r="AC55" s="11"/>
      <c r="AD55" s="11"/>
      <c r="AE55" s="21"/>
    </row>
    <row r="56" spans="28:31" ht="19.5" customHeight="1" x14ac:dyDescent="0.3">
      <c r="AB56" s="21"/>
      <c r="AC56" s="11"/>
      <c r="AD56" s="11"/>
      <c r="AE56" s="21"/>
    </row>
    <row r="57" spans="28:31" ht="19.5" customHeight="1" x14ac:dyDescent="0.3">
      <c r="AB57" s="21"/>
      <c r="AC57" s="11"/>
      <c r="AD57" s="11"/>
      <c r="AE57" s="21"/>
    </row>
    <row r="58" spans="28:31" ht="19.5" customHeight="1" x14ac:dyDescent="0.3">
      <c r="AB58" s="21"/>
      <c r="AC58" s="11"/>
      <c r="AD58" s="11"/>
      <c r="AE58" s="21"/>
    </row>
    <row r="59" spans="28:31" ht="19.5" customHeight="1" x14ac:dyDescent="0.3">
      <c r="AB59" s="21"/>
      <c r="AC59" s="11"/>
      <c r="AD59" s="11"/>
      <c r="AE59" s="21"/>
    </row>
    <row r="60" spans="28:31" ht="19.5" customHeight="1" x14ac:dyDescent="0.3">
      <c r="AB60" s="21"/>
      <c r="AC60" s="11"/>
      <c r="AD60" s="11"/>
      <c r="AE60" s="21"/>
    </row>
    <row r="61" spans="28:31" ht="19.5" customHeight="1" x14ac:dyDescent="0.3">
      <c r="AB61" s="21"/>
      <c r="AC61" s="11"/>
      <c r="AD61" s="11"/>
      <c r="AE61" s="21"/>
    </row>
    <row r="62" spans="28:31" ht="19.5" customHeight="1" x14ac:dyDescent="0.3">
      <c r="AB62" s="21"/>
      <c r="AC62" s="11"/>
      <c r="AD62" s="11"/>
      <c r="AE62" s="21"/>
    </row>
    <row r="63" spans="28:31" ht="19.5" customHeight="1" x14ac:dyDescent="0.3">
      <c r="AB63" s="21"/>
      <c r="AC63" s="11"/>
      <c r="AD63" s="11"/>
      <c r="AE63" s="21"/>
    </row>
    <row r="64" spans="28:31" ht="19.5" customHeight="1" x14ac:dyDescent="0.3">
      <c r="AB64" s="21"/>
      <c r="AC64" s="11"/>
      <c r="AD64" s="11"/>
      <c r="AE64" s="21"/>
    </row>
    <row r="65" spans="28:31" ht="19.5" customHeight="1" x14ac:dyDescent="0.3">
      <c r="AB65" s="21"/>
      <c r="AC65" s="11"/>
      <c r="AD65" s="11"/>
      <c r="AE65" s="21"/>
    </row>
    <row r="66" spans="28:31" ht="19.5" customHeight="1" x14ac:dyDescent="0.3">
      <c r="AB66" s="21"/>
      <c r="AC66" s="11"/>
      <c r="AD66" s="11"/>
      <c r="AE66" s="21"/>
    </row>
    <row r="67" spans="28:31" ht="19.5" customHeight="1" x14ac:dyDescent="0.3">
      <c r="AB67" s="21"/>
      <c r="AC67" s="11"/>
      <c r="AD67" s="11"/>
      <c r="AE67" s="21"/>
    </row>
    <row r="68" spans="28:31" ht="19.5" customHeight="1" x14ac:dyDescent="0.3">
      <c r="AB68" s="21"/>
      <c r="AC68" s="11"/>
      <c r="AD68" s="11"/>
      <c r="AE68" s="21"/>
    </row>
  </sheetData>
  <sheetProtection selectLockedCells="1" selectUnlockedCells="1"/>
  <autoFilter ref="A2:AF2"/>
  <mergeCells count="4">
    <mergeCell ref="A1:P1"/>
    <mergeCell ref="U1:X1"/>
    <mergeCell ref="Y1:AE1"/>
    <mergeCell ref="Q1:S1"/>
  </mergeCells>
  <phoneticPr fontId="10" type="noConversion"/>
  <dataValidations count="9">
    <dataValidation type="list" allowBlank="1" showInputMessage="1" showErrorMessage="1" sqref="T2:T1048576">
      <formula1>Density</formula1>
    </dataValidation>
    <dataValidation type="list" allowBlank="1" showInputMessage="1" showErrorMessage="1" sqref="S2:S1048576">
      <formula1>MaterialGrade</formula1>
    </dataValidation>
    <dataValidation type="list" allowBlank="1" showInputMessage="1" showErrorMessage="1" sqref="R3:R1048576">
      <formula1>MaterialType</formula1>
    </dataValidation>
    <dataValidation type="list" allowBlank="1" showInputMessage="1" showErrorMessage="1" sqref="Q4:Q1048576">
      <formula1>Shapes</formula1>
    </dataValidation>
    <dataValidation type="list" allowBlank="1" showInputMessage="1" showErrorMessage="1" sqref="F3:F1048576">
      <formula1>CATEGORY</formula1>
    </dataValidation>
    <dataValidation type="list" allowBlank="1" showInputMessage="1" showErrorMessage="1" sqref="P3:P13">
      <formula1>ItemType</formula1>
    </dataValidation>
    <dataValidation type="list" allowBlank="1" showInputMessage="1" showErrorMessage="1" sqref="K3:K13 AC3:AC8 AC13">
      <formula1>UOM</formula1>
    </dataValidation>
    <dataValidation type="list" allowBlank="1" showInputMessage="1" showErrorMessage="1" sqref="N3:N8">
      <formula1>HSNCode</formula1>
    </dataValidation>
    <dataValidation type="list" allowBlank="1" showInputMessage="1" showErrorMessage="1" sqref="O3:O8">
      <formula1>SACCode</formula1>
    </dataValidation>
  </dataValidation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2A66116D3894418D788CF22C6ED4DF" ma:contentTypeVersion="8" ma:contentTypeDescription="Create a new document." ma:contentTypeScope="" ma:versionID="ad020e595160816f107546d493436fff">
  <xsd:schema xmlns:xsd="http://www.w3.org/2001/XMLSchema" xmlns:xs="http://www.w3.org/2001/XMLSchema" xmlns:p="http://schemas.microsoft.com/office/2006/metadata/properties" xmlns:ns3="7d2b838e-c3af-4559-ac73-92bfc0f9af3b" targetNamespace="http://schemas.microsoft.com/office/2006/metadata/properties" ma:root="true" ma:fieldsID="fd2967947a16c1bbcadf99dca00e735a" ns3:_="">
    <xsd:import namespace="7d2b838e-c3af-4559-ac73-92bfc0f9af3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b838e-c3af-4559-ac73-92bfc0f9af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433B2D-3B67-4556-BEF9-59F3D621AE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2b838e-c3af-4559-ac73-92bfc0f9af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ED4B134-9DD6-4425-AADE-42E9D1491AB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9</vt:i4>
      </vt:variant>
    </vt:vector>
  </HeadingPairs>
  <TitlesOfParts>
    <vt:vector size="12" baseType="lpstr">
      <vt:lpstr>Master data</vt:lpstr>
      <vt:lpstr>SampleBOM</vt:lpstr>
      <vt:lpstr>BOM1</vt:lpstr>
      <vt:lpstr>CATEGORY</vt:lpstr>
      <vt:lpstr>Density</vt:lpstr>
      <vt:lpstr>HSNCode</vt:lpstr>
      <vt:lpstr>ItemType</vt:lpstr>
      <vt:lpstr>MaterialGrade</vt:lpstr>
      <vt:lpstr>MaterialType</vt:lpstr>
      <vt:lpstr>SACCode</vt:lpstr>
      <vt:lpstr>Shapes</vt:lpstr>
      <vt:lpstr>UOM</vt:lpstr>
    </vt:vector>
  </TitlesOfParts>
  <Company>Goods And Services Network (GSTN)</Company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GSTR1 Excel Workbook Template</dc:title>
  <dc:subject>For uploading data to offline tool</dc:subject>
  <dc:creator>Vijaya Kumara A</dc:creator>
  <cp:lastModifiedBy>Vijaya Kumara A</cp:lastModifiedBy>
  <cp:revision/>
  <cp:lastPrinted>2025-03-19T09:20:13Z</cp:lastPrinted>
  <dcterms:created xsi:type="dcterms:W3CDTF">2017-06-07T13:10:06Z</dcterms:created>
  <dcterms:modified xsi:type="dcterms:W3CDTF">2026-06-22T12:30:39Z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0x0101005F2A66116D3894418D788CF22C6ED4DF</vt:lpwstr>
  </property>
  <property fmtid="{D5CDD505-2E9C-101B-9397-08002B2CF9AE}" pid="3" name="MSIP_Label_7fd8a196-24eb-41bb-9b22-e6a1875a70f5_Enabled">
    <vt:lpwstr>true</vt:lpwstr>
  </property>
  <property fmtid="{D5CDD505-2E9C-101B-9397-08002B2CF9AE}" pid="4" name="MSIP_Label_7fd8a196-24eb-41bb-9b22-e6a1875a70f5_SetDate">
    <vt:lpwstr>2021-11-25T11:06:00Z</vt:lpwstr>
  </property>
  <property fmtid="{D5CDD505-2E9C-101B-9397-08002B2CF9AE}" pid="5" name="MSIP_Label_7fd8a196-24eb-41bb-9b22-e6a1875a70f5_Method">
    <vt:lpwstr>Privileged</vt:lpwstr>
  </property>
  <property fmtid="{D5CDD505-2E9C-101B-9397-08002B2CF9AE}" pid="6" name="MSIP_Label_7fd8a196-24eb-41bb-9b22-e6a1875a70f5_Name">
    <vt:lpwstr>Public</vt:lpwstr>
  </property>
  <property fmtid="{D5CDD505-2E9C-101B-9397-08002B2CF9AE}" pid="7" name="MSIP_Label_7fd8a196-24eb-41bb-9b22-e6a1875a70f5_SiteId">
    <vt:lpwstr>63ce7d59-2f3e-42cd-a8cc-be764cff5eb6</vt:lpwstr>
  </property>
  <property fmtid="{D5CDD505-2E9C-101B-9397-08002B2CF9AE}" pid="8" name="MSIP_Label_7fd8a196-24eb-41bb-9b22-e6a1875a70f5_ActionId">
    <vt:lpwstr>eb231e72-8f31-46d2-9cc2-cfcc68a46cd9</vt:lpwstr>
  </property>
  <property fmtid="{D5CDD505-2E9C-101B-9397-08002B2CF9AE}" pid="9" name="MSIP_Label_7fd8a196-24eb-41bb-9b22-e6a1875a70f5_ContentBits">
    <vt:lpwstr>0</vt:lpwstr>
  </property>
</Properties>
</file>